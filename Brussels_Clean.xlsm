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thurdebelle/Desktop/TUM/SoSe 2024/Ad.S - OM/Project/CODING/Airports data/Brussels (EBBR)/"/>
    </mc:Choice>
  </mc:AlternateContent>
  <xr:revisionPtr revIDLastSave="0" documentId="13_ncr:1_{858D5808-2330-BC4C-A79A-7EBDFED7CACF}" xr6:coauthVersionLast="47" xr6:coauthVersionMax="47" xr10:uidLastSave="{00000000-0000-0000-0000-000000000000}"/>
  <bookViews>
    <workbookView xWindow="0" yWindow="760" windowWidth="15120" windowHeight="17780" xr2:uid="{238E5ECA-6809-344D-A866-0FB84BE7EDC1}"/>
  </bookViews>
  <sheets>
    <sheet name="EBBR - Flights" sheetId="1" r:id="rId1"/>
    <sheet name="EBBR - Gat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1" l="1"/>
  <c r="O4" i="1"/>
  <c r="P4" i="1"/>
  <c r="Q4" i="1"/>
  <c r="R4" i="1" s="1"/>
  <c r="N5" i="1"/>
  <c r="O5" i="1"/>
  <c r="P5" i="1"/>
  <c r="Q5" i="1"/>
  <c r="R5" i="1" s="1"/>
  <c r="N6" i="1"/>
  <c r="O6" i="1"/>
  <c r="P6" i="1"/>
  <c r="Q6" i="1"/>
  <c r="R6" i="1" s="1"/>
  <c r="N7" i="1"/>
  <c r="O7" i="1"/>
  <c r="P7" i="1"/>
  <c r="Q7" i="1"/>
  <c r="R7" i="1"/>
  <c r="N8" i="1"/>
  <c r="O8" i="1"/>
  <c r="P8" i="1"/>
  <c r="Q8" i="1"/>
  <c r="N9" i="1"/>
  <c r="O9" i="1"/>
  <c r="P9" i="1"/>
  <c r="Q9" i="1"/>
  <c r="R9" i="1" s="1"/>
  <c r="N10" i="1"/>
  <c r="O10" i="1"/>
  <c r="P10" i="1"/>
  <c r="Q10" i="1"/>
  <c r="N11" i="1"/>
  <c r="O11" i="1"/>
  <c r="P11" i="1"/>
  <c r="Q11" i="1"/>
  <c r="R11" i="1" s="1"/>
  <c r="N12" i="1"/>
  <c r="O12" i="1"/>
  <c r="P12" i="1"/>
  <c r="Q12" i="1"/>
  <c r="N13" i="1"/>
  <c r="O13" i="1"/>
  <c r="P13" i="1"/>
  <c r="Q13" i="1"/>
  <c r="R13" i="1" s="1"/>
  <c r="N14" i="1"/>
  <c r="O14" i="1"/>
  <c r="P14" i="1"/>
  <c r="Q14" i="1"/>
  <c r="N15" i="1"/>
  <c r="O15" i="1"/>
  <c r="P15" i="1"/>
  <c r="Q15" i="1"/>
  <c r="R15" i="1"/>
  <c r="N16" i="1"/>
  <c r="O16" i="1"/>
  <c r="P16" i="1"/>
  <c r="Q16" i="1"/>
  <c r="R16" i="1" s="1"/>
  <c r="N17" i="1"/>
  <c r="O17" i="1"/>
  <c r="P17" i="1"/>
  <c r="Q17" i="1"/>
  <c r="R17" i="1"/>
  <c r="N18" i="1"/>
  <c r="O18" i="1"/>
  <c r="P18" i="1"/>
  <c r="Q18" i="1"/>
  <c r="R18" i="1" s="1"/>
  <c r="N19" i="1"/>
  <c r="O19" i="1"/>
  <c r="P19" i="1"/>
  <c r="Q19" i="1"/>
  <c r="R19" i="1" s="1"/>
  <c r="N20" i="1"/>
  <c r="O20" i="1"/>
  <c r="P20" i="1"/>
  <c r="Q20" i="1"/>
  <c r="N21" i="1"/>
  <c r="O21" i="1"/>
  <c r="P21" i="1"/>
  <c r="Q21" i="1"/>
  <c r="R21" i="1" s="1"/>
  <c r="N22" i="1"/>
  <c r="O22" i="1"/>
  <c r="P22" i="1"/>
  <c r="Q22" i="1"/>
  <c r="N23" i="1"/>
  <c r="O23" i="1"/>
  <c r="P23" i="1"/>
  <c r="Q23" i="1"/>
  <c r="R23" i="1" s="1"/>
  <c r="N24" i="1"/>
  <c r="O24" i="1"/>
  <c r="P24" i="1"/>
  <c r="Q24" i="1"/>
  <c r="R24" i="1" s="1"/>
  <c r="N25" i="1"/>
  <c r="O25" i="1"/>
  <c r="P25" i="1"/>
  <c r="Q25" i="1"/>
  <c r="R25" i="1" s="1"/>
  <c r="N26" i="1"/>
  <c r="O26" i="1"/>
  <c r="P26" i="1"/>
  <c r="Q26" i="1"/>
  <c r="R26" i="1" s="1"/>
  <c r="N27" i="1"/>
  <c r="O27" i="1"/>
  <c r="P27" i="1"/>
  <c r="Q27" i="1"/>
  <c r="R27" i="1"/>
  <c r="N28" i="1"/>
  <c r="O28" i="1"/>
  <c r="P28" i="1"/>
  <c r="Q28" i="1"/>
  <c r="N29" i="1"/>
  <c r="O29" i="1"/>
  <c r="P29" i="1"/>
  <c r="Q29" i="1"/>
  <c r="R29" i="1"/>
  <c r="N30" i="1"/>
  <c r="O30" i="1"/>
  <c r="P30" i="1"/>
  <c r="Q30" i="1"/>
  <c r="N31" i="1"/>
  <c r="O31" i="1"/>
  <c r="P31" i="1"/>
  <c r="Q31" i="1"/>
  <c r="R31" i="1" s="1"/>
  <c r="N32" i="1"/>
  <c r="O32" i="1"/>
  <c r="P32" i="1"/>
  <c r="Q32" i="1"/>
  <c r="N33" i="1"/>
  <c r="O33" i="1"/>
  <c r="P33" i="1"/>
  <c r="Q33" i="1"/>
  <c r="R33" i="1" s="1"/>
  <c r="N34" i="1"/>
  <c r="O34" i="1"/>
  <c r="P34" i="1"/>
  <c r="Q34" i="1"/>
  <c r="N35" i="1"/>
  <c r="O35" i="1"/>
  <c r="P35" i="1"/>
  <c r="Q35" i="1"/>
  <c r="R35" i="1"/>
  <c r="N36" i="1"/>
  <c r="O36" i="1"/>
  <c r="P36" i="1"/>
  <c r="Q36" i="1"/>
  <c r="R36" i="1" s="1"/>
  <c r="N37" i="1"/>
  <c r="O37" i="1"/>
  <c r="P37" i="1"/>
  <c r="Q37" i="1"/>
  <c r="R37" i="1"/>
  <c r="N38" i="1"/>
  <c r="O38" i="1"/>
  <c r="P38" i="1"/>
  <c r="Q38" i="1"/>
  <c r="R38" i="1" s="1"/>
  <c r="N39" i="1"/>
  <c r="O39" i="1"/>
  <c r="P39" i="1"/>
  <c r="Q39" i="1"/>
  <c r="R39" i="1" s="1"/>
  <c r="N40" i="1"/>
  <c r="O40" i="1"/>
  <c r="P40" i="1"/>
  <c r="Q40" i="1"/>
  <c r="N41" i="1"/>
  <c r="O41" i="1"/>
  <c r="P41" i="1"/>
  <c r="Q41" i="1"/>
  <c r="R41" i="1" s="1"/>
  <c r="N42" i="1"/>
  <c r="O42" i="1"/>
  <c r="P42" i="1"/>
  <c r="Q42" i="1"/>
  <c r="N43" i="1"/>
  <c r="O43" i="1"/>
  <c r="P43" i="1"/>
  <c r="Q43" i="1"/>
  <c r="R43" i="1" s="1"/>
  <c r="N44" i="1"/>
  <c r="O44" i="1"/>
  <c r="P44" i="1"/>
  <c r="Q44" i="1"/>
  <c r="R44" i="1" s="1"/>
  <c r="N45" i="1"/>
  <c r="O45" i="1"/>
  <c r="P45" i="1"/>
  <c r="Q45" i="1"/>
  <c r="R45" i="1" s="1"/>
  <c r="N46" i="1"/>
  <c r="O46" i="1"/>
  <c r="P46" i="1"/>
  <c r="Q46" i="1"/>
  <c r="R46" i="1" s="1"/>
  <c r="N47" i="1"/>
  <c r="O47" i="1"/>
  <c r="P47" i="1"/>
  <c r="Q47" i="1"/>
  <c r="R47" i="1" s="1"/>
  <c r="N48" i="1"/>
  <c r="O48" i="1"/>
  <c r="P48" i="1"/>
  <c r="Q48" i="1"/>
  <c r="N49" i="1"/>
  <c r="O49" i="1"/>
  <c r="P49" i="1"/>
  <c r="Q49" i="1"/>
  <c r="R49" i="1"/>
  <c r="N50" i="1"/>
  <c r="O50" i="1"/>
  <c r="P50" i="1"/>
  <c r="Q50" i="1"/>
  <c r="N51" i="1"/>
  <c r="O51" i="1"/>
  <c r="P51" i="1"/>
  <c r="Q51" i="1"/>
  <c r="R51" i="1" s="1"/>
  <c r="N52" i="1"/>
  <c r="O52" i="1"/>
  <c r="P52" i="1"/>
  <c r="Q52" i="1"/>
  <c r="N53" i="1"/>
  <c r="O53" i="1"/>
  <c r="P53" i="1"/>
  <c r="Q53" i="1"/>
  <c r="R53" i="1" s="1"/>
  <c r="N54" i="1"/>
  <c r="O54" i="1"/>
  <c r="P54" i="1"/>
  <c r="Q54" i="1"/>
  <c r="N55" i="1"/>
  <c r="O55" i="1"/>
  <c r="P55" i="1"/>
  <c r="Q55" i="1"/>
  <c r="R55" i="1"/>
  <c r="N56" i="1"/>
  <c r="O56" i="1"/>
  <c r="P56" i="1"/>
  <c r="Q56" i="1"/>
  <c r="N57" i="1"/>
  <c r="O57" i="1"/>
  <c r="P57" i="1"/>
  <c r="Q57" i="1"/>
  <c r="R57" i="1"/>
  <c r="N58" i="1"/>
  <c r="O58" i="1"/>
  <c r="P58" i="1"/>
  <c r="Q58" i="1"/>
  <c r="R58" i="1" s="1"/>
  <c r="N59" i="1"/>
  <c r="O59" i="1"/>
  <c r="P59" i="1"/>
  <c r="Q59" i="1"/>
  <c r="R59" i="1" s="1"/>
  <c r="N60" i="1"/>
  <c r="O60" i="1"/>
  <c r="P60" i="1"/>
  <c r="Q60" i="1"/>
  <c r="N61" i="1"/>
  <c r="O61" i="1"/>
  <c r="P61" i="1"/>
  <c r="Q61" i="1"/>
  <c r="R61" i="1" s="1"/>
  <c r="N62" i="1"/>
  <c r="O62" i="1"/>
  <c r="P62" i="1"/>
  <c r="Q62" i="1"/>
  <c r="N63" i="1"/>
  <c r="O63" i="1"/>
  <c r="P63" i="1"/>
  <c r="R63" i="1" s="1"/>
  <c r="Q63" i="1"/>
  <c r="N64" i="1"/>
  <c r="O64" i="1"/>
  <c r="P64" i="1"/>
  <c r="Q64" i="1"/>
  <c r="R64" i="1" s="1"/>
  <c r="N65" i="1"/>
  <c r="O65" i="1"/>
  <c r="P65" i="1"/>
  <c r="Q65" i="1"/>
  <c r="R65" i="1" s="1"/>
  <c r="N66" i="1"/>
  <c r="O66" i="1"/>
  <c r="P66" i="1"/>
  <c r="Q66" i="1"/>
  <c r="R66" i="1" s="1"/>
  <c r="N67" i="1"/>
  <c r="O67" i="1"/>
  <c r="P67" i="1"/>
  <c r="Q67" i="1"/>
  <c r="R67" i="1" s="1"/>
  <c r="N68" i="1"/>
  <c r="O68" i="1"/>
  <c r="P68" i="1"/>
  <c r="Q68" i="1"/>
  <c r="N69" i="1"/>
  <c r="O69" i="1"/>
  <c r="P69" i="1"/>
  <c r="Q69" i="1"/>
  <c r="R69" i="1"/>
  <c r="N70" i="1"/>
  <c r="O70" i="1"/>
  <c r="P70" i="1"/>
  <c r="Q70" i="1"/>
  <c r="N71" i="1"/>
  <c r="O71" i="1"/>
  <c r="P71" i="1"/>
  <c r="Q71" i="1"/>
  <c r="R71" i="1" s="1"/>
  <c r="N72" i="1"/>
  <c r="O72" i="1"/>
  <c r="P72" i="1"/>
  <c r="Q72" i="1"/>
  <c r="R72" i="1" s="1"/>
  <c r="N73" i="1"/>
  <c r="O73" i="1"/>
  <c r="P73" i="1"/>
  <c r="Q73" i="1"/>
  <c r="R73" i="1" s="1"/>
  <c r="N74" i="1"/>
  <c r="O74" i="1"/>
  <c r="P74" i="1"/>
  <c r="Q74" i="1"/>
  <c r="N75" i="1"/>
  <c r="O75" i="1"/>
  <c r="P75" i="1"/>
  <c r="Q75" i="1"/>
  <c r="R75" i="1"/>
  <c r="N76" i="1"/>
  <c r="O76" i="1"/>
  <c r="P76" i="1"/>
  <c r="Q76" i="1"/>
  <c r="N77" i="1"/>
  <c r="O77" i="1"/>
  <c r="P77" i="1"/>
  <c r="Q77" i="1"/>
  <c r="R77" i="1"/>
  <c r="N78" i="1"/>
  <c r="O78" i="1"/>
  <c r="P78" i="1"/>
  <c r="Q78" i="1"/>
  <c r="R78" i="1" s="1"/>
  <c r="N79" i="1"/>
  <c r="O79" i="1"/>
  <c r="P79" i="1"/>
  <c r="Q79" i="1"/>
  <c r="R79" i="1" s="1"/>
  <c r="N80" i="1"/>
  <c r="O80" i="1"/>
  <c r="P80" i="1"/>
  <c r="Q80" i="1"/>
  <c r="N81" i="1"/>
  <c r="O81" i="1"/>
  <c r="P81" i="1"/>
  <c r="Q81" i="1"/>
  <c r="R81" i="1" s="1"/>
  <c r="N82" i="1"/>
  <c r="O82" i="1"/>
  <c r="P82" i="1"/>
  <c r="Q82" i="1"/>
  <c r="N83" i="1"/>
  <c r="O83" i="1"/>
  <c r="P83" i="1"/>
  <c r="R83" i="1" s="1"/>
  <c r="Q83" i="1"/>
  <c r="N84" i="1"/>
  <c r="O84" i="1"/>
  <c r="P84" i="1"/>
  <c r="Q84" i="1"/>
  <c r="R84" i="1" s="1"/>
  <c r="N85" i="1"/>
  <c r="O85" i="1"/>
  <c r="P85" i="1"/>
  <c r="Q85" i="1"/>
  <c r="R85" i="1" s="1"/>
  <c r="N86" i="1"/>
  <c r="O86" i="1"/>
  <c r="P86" i="1"/>
  <c r="Q86" i="1"/>
  <c r="R86" i="1" s="1"/>
  <c r="N87" i="1"/>
  <c r="O87" i="1"/>
  <c r="P87" i="1"/>
  <c r="Q87" i="1"/>
  <c r="R87" i="1" s="1"/>
  <c r="N88" i="1"/>
  <c r="O88" i="1"/>
  <c r="P88" i="1"/>
  <c r="Q88" i="1"/>
  <c r="N89" i="1"/>
  <c r="O89" i="1"/>
  <c r="P89" i="1"/>
  <c r="Q89" i="1"/>
  <c r="R89" i="1"/>
  <c r="N90" i="1"/>
  <c r="O90" i="1"/>
  <c r="P90" i="1"/>
  <c r="Q90" i="1"/>
  <c r="N91" i="1"/>
  <c r="O91" i="1"/>
  <c r="P91" i="1"/>
  <c r="Q91" i="1"/>
  <c r="R91" i="1" s="1"/>
  <c r="N92" i="1"/>
  <c r="O92" i="1"/>
  <c r="P92" i="1"/>
  <c r="Q92" i="1"/>
  <c r="R92" i="1" s="1"/>
  <c r="N93" i="1"/>
  <c r="O93" i="1"/>
  <c r="P93" i="1"/>
  <c r="Q93" i="1"/>
  <c r="R93" i="1" s="1"/>
  <c r="N94" i="1"/>
  <c r="O94" i="1"/>
  <c r="P94" i="1"/>
  <c r="Q94" i="1"/>
  <c r="N95" i="1"/>
  <c r="O95" i="1"/>
  <c r="P95" i="1"/>
  <c r="Q95" i="1"/>
  <c r="R95" i="1"/>
  <c r="N96" i="1"/>
  <c r="O96" i="1"/>
  <c r="P96" i="1"/>
  <c r="Q96" i="1"/>
  <c r="N97" i="1"/>
  <c r="O97" i="1"/>
  <c r="P97" i="1"/>
  <c r="Q97" i="1"/>
  <c r="R97" i="1"/>
  <c r="N98" i="1"/>
  <c r="O98" i="1"/>
  <c r="P98" i="1"/>
  <c r="Q98" i="1"/>
  <c r="R98" i="1" s="1"/>
  <c r="N99" i="1"/>
  <c r="O99" i="1"/>
  <c r="P99" i="1"/>
  <c r="Q99" i="1"/>
  <c r="R99" i="1" s="1"/>
  <c r="N100" i="1"/>
  <c r="O100" i="1"/>
  <c r="P100" i="1"/>
  <c r="Q100" i="1"/>
  <c r="R100" i="1" s="1"/>
  <c r="N101" i="1"/>
  <c r="O101" i="1"/>
  <c r="P101" i="1"/>
  <c r="Q101" i="1"/>
  <c r="R101" i="1" s="1"/>
  <c r="N102" i="1"/>
  <c r="O102" i="1"/>
  <c r="P102" i="1"/>
  <c r="Q102" i="1"/>
  <c r="N103" i="1"/>
  <c r="O103" i="1"/>
  <c r="P103" i="1"/>
  <c r="R103" i="1" s="1"/>
  <c r="Q103" i="1"/>
  <c r="N104" i="1"/>
  <c r="O104" i="1"/>
  <c r="P104" i="1"/>
  <c r="Q104" i="1"/>
  <c r="R104" i="1" s="1"/>
  <c r="N105" i="1"/>
  <c r="O105" i="1"/>
  <c r="P105" i="1"/>
  <c r="Q105" i="1"/>
  <c r="R105" i="1" s="1"/>
  <c r="N106" i="1"/>
  <c r="O106" i="1"/>
  <c r="P106" i="1"/>
  <c r="Q106" i="1"/>
  <c r="R106" i="1" s="1"/>
  <c r="N107" i="1"/>
  <c r="O107" i="1"/>
  <c r="P107" i="1"/>
  <c r="Q107" i="1"/>
  <c r="R107" i="1" s="1"/>
  <c r="N108" i="1"/>
  <c r="O108" i="1"/>
  <c r="P108" i="1"/>
  <c r="Q108" i="1"/>
  <c r="N109" i="1"/>
  <c r="O109" i="1"/>
  <c r="P109" i="1"/>
  <c r="Q109" i="1"/>
  <c r="R109" i="1"/>
  <c r="N110" i="1"/>
  <c r="O110" i="1"/>
  <c r="P110" i="1"/>
  <c r="Q110" i="1"/>
  <c r="N111" i="1"/>
  <c r="O111" i="1"/>
  <c r="P111" i="1"/>
  <c r="R111" i="1" s="1"/>
  <c r="Q111" i="1"/>
  <c r="N112" i="1"/>
  <c r="O112" i="1"/>
  <c r="P112" i="1"/>
  <c r="Q112" i="1"/>
  <c r="R112" i="1" s="1"/>
  <c r="N113" i="1"/>
  <c r="O113" i="1"/>
  <c r="P113" i="1"/>
  <c r="Q113" i="1"/>
  <c r="R113" i="1" s="1"/>
  <c r="N114" i="1"/>
  <c r="O114" i="1"/>
  <c r="P114" i="1"/>
  <c r="Q114" i="1"/>
  <c r="N115" i="1"/>
  <c r="O115" i="1"/>
  <c r="P115" i="1"/>
  <c r="Q115" i="1"/>
  <c r="R115" i="1"/>
  <c r="N116" i="1"/>
  <c r="O116" i="1"/>
  <c r="P116" i="1"/>
  <c r="Q116" i="1"/>
  <c r="R116" i="1" s="1"/>
  <c r="N117" i="1"/>
  <c r="O117" i="1"/>
  <c r="P117" i="1"/>
  <c r="Q117" i="1"/>
  <c r="R117" i="1"/>
  <c r="N118" i="1"/>
  <c r="O118" i="1"/>
  <c r="P118" i="1"/>
  <c r="Q118" i="1"/>
  <c r="R118" i="1" s="1"/>
  <c r="N119" i="1"/>
  <c r="O119" i="1"/>
  <c r="P119" i="1"/>
  <c r="Q119" i="1"/>
  <c r="R119" i="1" s="1"/>
  <c r="N120" i="1"/>
  <c r="O120" i="1"/>
  <c r="P120" i="1"/>
  <c r="Q120" i="1"/>
  <c r="R120" i="1" s="1"/>
  <c r="N121" i="1"/>
  <c r="O121" i="1"/>
  <c r="P121" i="1"/>
  <c r="Q121" i="1"/>
  <c r="R121" i="1" s="1"/>
  <c r="N122" i="1"/>
  <c r="O122" i="1"/>
  <c r="P122" i="1"/>
  <c r="Q122" i="1"/>
  <c r="N123" i="1"/>
  <c r="O123" i="1"/>
  <c r="P123" i="1"/>
  <c r="R123" i="1" s="1"/>
  <c r="Q123" i="1"/>
  <c r="N124" i="1"/>
  <c r="O124" i="1"/>
  <c r="P124" i="1"/>
  <c r="Q124" i="1"/>
  <c r="R124" i="1" s="1"/>
  <c r="N125" i="1"/>
  <c r="O125" i="1"/>
  <c r="P125" i="1"/>
  <c r="Q125" i="1"/>
  <c r="R125" i="1" s="1"/>
  <c r="N126" i="1"/>
  <c r="O126" i="1"/>
  <c r="P126" i="1"/>
  <c r="Q126" i="1"/>
  <c r="R126" i="1" s="1"/>
  <c r="N127" i="1"/>
  <c r="O127" i="1"/>
  <c r="P127" i="1"/>
  <c r="Q127" i="1"/>
  <c r="R127" i="1"/>
  <c r="N128" i="1"/>
  <c r="O128" i="1"/>
  <c r="P128" i="1"/>
  <c r="Q128" i="1"/>
  <c r="N129" i="1"/>
  <c r="O129" i="1"/>
  <c r="P129" i="1"/>
  <c r="Q129" i="1"/>
  <c r="R129" i="1"/>
  <c r="N130" i="1"/>
  <c r="O130" i="1"/>
  <c r="P130" i="1"/>
  <c r="Q130" i="1"/>
  <c r="N131" i="1"/>
  <c r="O131" i="1"/>
  <c r="P131" i="1"/>
  <c r="R131" i="1" s="1"/>
  <c r="Q131" i="1"/>
  <c r="N132" i="1"/>
  <c r="O132" i="1"/>
  <c r="P132" i="1"/>
  <c r="Q132" i="1"/>
  <c r="R132" i="1" s="1"/>
  <c r="N133" i="1"/>
  <c r="O133" i="1"/>
  <c r="P133" i="1"/>
  <c r="Q133" i="1"/>
  <c r="R133" i="1" s="1"/>
  <c r="N134" i="1"/>
  <c r="O134" i="1"/>
  <c r="P134" i="1"/>
  <c r="Q134" i="1"/>
  <c r="N135" i="1"/>
  <c r="O135" i="1"/>
  <c r="P135" i="1"/>
  <c r="Q135" i="1"/>
  <c r="R135" i="1"/>
  <c r="N136" i="1"/>
  <c r="O136" i="1"/>
  <c r="P136" i="1"/>
  <c r="Q136" i="1"/>
  <c r="R136" i="1" s="1"/>
  <c r="N137" i="1"/>
  <c r="O137" i="1"/>
  <c r="P137" i="1"/>
  <c r="Q137" i="1"/>
  <c r="R137" i="1"/>
  <c r="N138" i="1"/>
  <c r="O138" i="1"/>
  <c r="P138" i="1"/>
  <c r="Q138" i="1"/>
  <c r="R138" i="1" s="1"/>
  <c r="N139" i="1"/>
  <c r="O139" i="1"/>
  <c r="P139" i="1"/>
  <c r="Q139" i="1"/>
  <c r="R139" i="1" s="1"/>
  <c r="N140" i="1"/>
  <c r="O140" i="1"/>
  <c r="P140" i="1"/>
  <c r="Q140" i="1"/>
  <c r="R140" i="1" s="1"/>
  <c r="N141" i="1"/>
  <c r="O141" i="1"/>
  <c r="P141" i="1"/>
  <c r="Q141" i="1"/>
  <c r="R141" i="1" s="1"/>
  <c r="N142" i="1"/>
  <c r="O142" i="1"/>
  <c r="P142" i="1"/>
  <c r="Q142" i="1"/>
  <c r="N143" i="1"/>
  <c r="O143" i="1"/>
  <c r="P143" i="1"/>
  <c r="Q143" i="1"/>
  <c r="R143" i="1"/>
  <c r="N144" i="1"/>
  <c r="O144" i="1"/>
  <c r="P144" i="1"/>
  <c r="Q144" i="1"/>
  <c r="R144" i="1" s="1"/>
  <c r="N145" i="1"/>
  <c r="O145" i="1"/>
  <c r="P145" i="1"/>
  <c r="Q145" i="1"/>
  <c r="R145" i="1"/>
  <c r="N146" i="1"/>
  <c r="O146" i="1"/>
  <c r="P146" i="1"/>
  <c r="Q146" i="1"/>
  <c r="R146" i="1" s="1"/>
  <c r="N147" i="1"/>
  <c r="O147" i="1"/>
  <c r="P147" i="1"/>
  <c r="Q147" i="1"/>
  <c r="R147" i="1"/>
  <c r="N148" i="1"/>
  <c r="O148" i="1"/>
  <c r="P148" i="1"/>
  <c r="Q148" i="1"/>
  <c r="N149" i="1"/>
  <c r="O149" i="1"/>
  <c r="P149" i="1"/>
  <c r="Q149" i="1"/>
  <c r="R149" i="1"/>
  <c r="N150" i="1"/>
  <c r="O150" i="1"/>
  <c r="P150" i="1"/>
  <c r="Q150" i="1"/>
  <c r="N151" i="1"/>
  <c r="O151" i="1"/>
  <c r="P151" i="1"/>
  <c r="R151" i="1" s="1"/>
  <c r="Q151" i="1"/>
  <c r="N152" i="1"/>
  <c r="O152" i="1"/>
  <c r="P152" i="1"/>
  <c r="Q152" i="1"/>
  <c r="R152" i="1" s="1"/>
  <c r="N153" i="1"/>
  <c r="O153" i="1"/>
  <c r="P153" i="1"/>
  <c r="Q153" i="1"/>
  <c r="R153" i="1" s="1"/>
  <c r="N154" i="1"/>
  <c r="O154" i="1"/>
  <c r="P154" i="1"/>
  <c r="Q154" i="1"/>
  <c r="R154" i="1" s="1"/>
  <c r="N155" i="1"/>
  <c r="O155" i="1"/>
  <c r="P155" i="1"/>
  <c r="Q155" i="1"/>
  <c r="R155" i="1"/>
  <c r="N156" i="1"/>
  <c r="O156" i="1"/>
  <c r="P156" i="1"/>
  <c r="Q156" i="1"/>
  <c r="R156" i="1" s="1"/>
  <c r="N157" i="1"/>
  <c r="O157" i="1"/>
  <c r="P157" i="1"/>
  <c r="Q157" i="1"/>
  <c r="R157" i="1"/>
  <c r="N158" i="1"/>
  <c r="O158" i="1"/>
  <c r="P158" i="1"/>
  <c r="Q158" i="1"/>
  <c r="R158" i="1" s="1"/>
  <c r="N159" i="1"/>
  <c r="O159" i="1"/>
  <c r="P159" i="1"/>
  <c r="Q159" i="1"/>
  <c r="R159" i="1" s="1"/>
  <c r="N160" i="1"/>
  <c r="O160" i="1"/>
  <c r="P160" i="1"/>
  <c r="Q160" i="1"/>
  <c r="R160" i="1" s="1"/>
  <c r="N161" i="1"/>
  <c r="O161" i="1"/>
  <c r="P161" i="1"/>
  <c r="Q161" i="1"/>
  <c r="R161" i="1" s="1"/>
  <c r="N162" i="1"/>
  <c r="O162" i="1"/>
  <c r="P162" i="1"/>
  <c r="Q162" i="1"/>
  <c r="N163" i="1"/>
  <c r="O163" i="1"/>
  <c r="P163" i="1"/>
  <c r="Q163" i="1"/>
  <c r="R163" i="1"/>
  <c r="N164" i="1"/>
  <c r="O164" i="1"/>
  <c r="P164" i="1"/>
  <c r="Q164" i="1"/>
  <c r="R164" i="1" s="1"/>
  <c r="N165" i="1"/>
  <c r="O165" i="1"/>
  <c r="P165" i="1"/>
  <c r="Q165" i="1"/>
  <c r="R165" i="1"/>
  <c r="N166" i="1"/>
  <c r="O166" i="1"/>
  <c r="P166" i="1"/>
  <c r="Q166" i="1"/>
  <c r="R166" i="1" s="1"/>
  <c r="N167" i="1"/>
  <c r="O167" i="1"/>
  <c r="P167" i="1"/>
  <c r="Q167" i="1"/>
  <c r="R167" i="1"/>
  <c r="N168" i="1"/>
  <c r="O168" i="1"/>
  <c r="P168" i="1"/>
  <c r="Q168" i="1"/>
  <c r="N169" i="1"/>
  <c r="O169" i="1"/>
  <c r="P169" i="1"/>
  <c r="Q169" i="1"/>
  <c r="R169" i="1"/>
  <c r="N170" i="1"/>
  <c r="O170" i="1"/>
  <c r="P170" i="1"/>
  <c r="Q170" i="1"/>
  <c r="N171" i="1"/>
  <c r="O171" i="1"/>
  <c r="P171" i="1"/>
  <c r="R171" i="1" s="1"/>
  <c r="Q171" i="1"/>
  <c r="N172" i="1"/>
  <c r="O172" i="1"/>
  <c r="P172" i="1"/>
  <c r="Q172" i="1"/>
  <c r="R172" i="1" s="1"/>
  <c r="N173" i="1"/>
  <c r="O173" i="1"/>
  <c r="P173" i="1"/>
  <c r="Q173" i="1"/>
  <c r="R173" i="1" s="1"/>
  <c r="N174" i="1"/>
  <c r="O174" i="1"/>
  <c r="P174" i="1"/>
  <c r="Q174" i="1"/>
  <c r="R174" i="1"/>
  <c r="N175" i="1"/>
  <c r="O175" i="1"/>
  <c r="P175" i="1"/>
  <c r="Q175" i="1"/>
  <c r="R175" i="1" s="1"/>
  <c r="N176" i="1"/>
  <c r="O176" i="1"/>
  <c r="P176" i="1"/>
  <c r="Q176" i="1"/>
  <c r="R176" i="1"/>
  <c r="N177" i="1"/>
  <c r="O177" i="1"/>
  <c r="P177" i="1"/>
  <c r="Q177" i="1"/>
  <c r="R177" i="1" s="1"/>
  <c r="T86" i="1"/>
  <c r="T167" i="1"/>
  <c r="R52" i="1" l="1"/>
  <c r="R32" i="1"/>
  <c r="R12" i="1"/>
  <c r="R134" i="1"/>
  <c r="R114" i="1"/>
  <c r="R94" i="1"/>
  <c r="R74" i="1"/>
  <c r="R54" i="1"/>
  <c r="R34" i="1"/>
  <c r="R14" i="1"/>
  <c r="R96" i="1"/>
  <c r="R76" i="1"/>
  <c r="R56" i="1"/>
  <c r="R80" i="1"/>
  <c r="R60" i="1"/>
  <c r="R40" i="1"/>
  <c r="R20" i="1"/>
  <c r="R162" i="1"/>
  <c r="R142" i="1"/>
  <c r="R122" i="1"/>
  <c r="R102" i="1"/>
  <c r="R82" i="1"/>
  <c r="R62" i="1"/>
  <c r="R42" i="1"/>
  <c r="R22" i="1"/>
  <c r="R168" i="1"/>
  <c r="R148" i="1"/>
  <c r="R128" i="1"/>
  <c r="R108" i="1"/>
  <c r="R88" i="1"/>
  <c r="R68" i="1"/>
  <c r="R48" i="1"/>
  <c r="R28" i="1"/>
  <c r="R8" i="1"/>
  <c r="R170" i="1"/>
  <c r="R150" i="1"/>
  <c r="R130" i="1"/>
  <c r="R110" i="1"/>
  <c r="R90" i="1"/>
  <c r="R70" i="1"/>
  <c r="R50" i="1"/>
  <c r="R30" i="1"/>
  <c r="R10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8" i="1"/>
  <c r="T169" i="1"/>
  <c r="T170" i="1"/>
  <c r="T171" i="1"/>
  <c r="T172" i="1"/>
  <c r="T173" i="1"/>
  <c r="T3" i="1"/>
  <c r="Q3" i="1"/>
  <c r="P3" i="1"/>
  <c r="O3" i="1"/>
  <c r="N3" i="1"/>
  <c r="R3" i="1" l="1"/>
</calcChain>
</file>

<file path=xl/sharedStrings.xml><?xml version="1.0" encoding="utf-8"?>
<sst xmlns="http://schemas.openxmlformats.org/spreadsheetml/2006/main" count="1849" uniqueCount="843">
  <si>
    <t>Name</t>
  </si>
  <si>
    <t>Type</t>
  </si>
  <si>
    <t>Max aircraft size</t>
  </si>
  <si>
    <t>Ga 550</t>
  </si>
  <si>
    <t>GA</t>
  </si>
  <si>
    <t>Small GA, most fighters</t>
  </si>
  <si>
    <t>n.a.</t>
  </si>
  <si>
    <t>Ga 552</t>
  </si>
  <si>
    <t>A-10, C208, Citation X, CRJs, P-38</t>
  </si>
  <si>
    <t>Ga 554</t>
  </si>
  <si>
    <t>Ga 556</t>
  </si>
  <si>
    <t>Ga 558</t>
  </si>
  <si>
    <t>Ga 560</t>
  </si>
  <si>
    <t>Ga 562</t>
  </si>
  <si>
    <t>Ga 564</t>
  </si>
  <si>
    <t>Ga 566</t>
  </si>
  <si>
    <t>Ga 568</t>
  </si>
  <si>
    <t>Ga 570</t>
  </si>
  <si>
    <t>Ga 572</t>
  </si>
  <si>
    <t>Ga 574</t>
  </si>
  <si>
    <t>Ga 576</t>
  </si>
  <si>
    <t>Ga 578</t>
  </si>
  <si>
    <t>Ga 580</t>
  </si>
  <si>
    <t>Ga 582</t>
  </si>
  <si>
    <t>Ga 584</t>
  </si>
  <si>
    <t>Ga 586</t>
  </si>
  <si>
    <t>Ga 588</t>
  </si>
  <si>
    <t>Ga 680</t>
  </si>
  <si>
    <t>A321, 737, Dash-8, Embraers</t>
  </si>
  <si>
    <t>Ga 681</t>
  </si>
  <si>
    <t>Ga 682</t>
  </si>
  <si>
    <t>Ga 683</t>
  </si>
  <si>
    <t>A340, 747-400, 777, 787</t>
  </si>
  <si>
    <t>Ga 684</t>
  </si>
  <si>
    <t>Ga 685</t>
  </si>
  <si>
    <t>Ga 686</t>
  </si>
  <si>
    <t>Ga 687</t>
  </si>
  <si>
    <t>Ga 688</t>
  </si>
  <si>
    <t>Ga 689</t>
  </si>
  <si>
    <t>Ga 690</t>
  </si>
  <si>
    <t>Ga 691</t>
  </si>
  <si>
    <t>Ga 692</t>
  </si>
  <si>
    <t>Ga 693</t>
  </si>
  <si>
    <t>Ga 694</t>
  </si>
  <si>
    <t>Ga 695</t>
  </si>
  <si>
    <t>Ga 696</t>
  </si>
  <si>
    <t>Ga 697</t>
  </si>
  <si>
    <t>Ga 698</t>
  </si>
  <si>
    <t>Ga 699</t>
  </si>
  <si>
    <t>Gate 140</t>
  </si>
  <si>
    <t>Airline</t>
  </si>
  <si>
    <t>Gate 142</t>
  </si>
  <si>
    <t>Gate 143</t>
  </si>
  <si>
    <t>Gate 144</t>
  </si>
  <si>
    <t>Gate 145L</t>
  </si>
  <si>
    <t>Gate 145R</t>
  </si>
  <si>
    <t>Gate 146</t>
  </si>
  <si>
    <t>Gate 147</t>
  </si>
  <si>
    <t>Gate 148</t>
  </si>
  <si>
    <t>Gate 149L</t>
  </si>
  <si>
    <t>Gate 149R</t>
  </si>
  <si>
    <t>Gate 150</t>
  </si>
  <si>
    <t>Gate 151</t>
  </si>
  <si>
    <t>Gate 152</t>
  </si>
  <si>
    <t>Gate 153L</t>
  </si>
  <si>
    <t>Gate 153R</t>
  </si>
  <si>
    <t>Gate 154</t>
  </si>
  <si>
    <t>Gate 155</t>
  </si>
  <si>
    <t>Gate 156</t>
  </si>
  <si>
    <t>Gate 157L</t>
  </si>
  <si>
    <t>Gate 157R</t>
  </si>
  <si>
    <t>Gate 158</t>
  </si>
  <si>
    <t>Gate 159</t>
  </si>
  <si>
    <t>Gate 160</t>
  </si>
  <si>
    <t>Gate 161</t>
  </si>
  <si>
    <t>Gate 162</t>
  </si>
  <si>
    <t>Gate 163</t>
  </si>
  <si>
    <t>Gate 164</t>
  </si>
  <si>
    <t>Gate 165L</t>
  </si>
  <si>
    <t>Gate 165R</t>
  </si>
  <si>
    <t>Gate 166</t>
  </si>
  <si>
    <t>Gate 167</t>
  </si>
  <si>
    <t>Gate 168</t>
  </si>
  <si>
    <t>Gate 169L</t>
  </si>
  <si>
    <t>Gate 169R</t>
  </si>
  <si>
    <t>Gate 170</t>
  </si>
  <si>
    <t>Gate 171</t>
  </si>
  <si>
    <t>Gate 172</t>
  </si>
  <si>
    <t>Gate 174</t>
  </si>
  <si>
    <t>Gate 204</t>
  </si>
  <si>
    <t>Gate 205L</t>
  </si>
  <si>
    <t>Gate 205R</t>
  </si>
  <si>
    <t>Gate 206L</t>
  </si>
  <si>
    <t>Gate 206R</t>
  </si>
  <si>
    <t>Gate 207</t>
  </si>
  <si>
    <t>Gate 208</t>
  </si>
  <si>
    <t>Gate 209</t>
  </si>
  <si>
    <t>Gate 210L</t>
  </si>
  <si>
    <t>Gate 210R</t>
  </si>
  <si>
    <t>Gate 211L</t>
  </si>
  <si>
    <t>Gate 211R</t>
  </si>
  <si>
    <t>Gate 214</t>
  </si>
  <si>
    <t>Gate 215</t>
  </si>
  <si>
    <t>Gate 217L</t>
  </si>
  <si>
    <t>Gate 217R</t>
  </si>
  <si>
    <t>Gate 227</t>
  </si>
  <si>
    <t>Gate 228</t>
  </si>
  <si>
    <t>Gate 229L</t>
  </si>
  <si>
    <t>Gate 229R</t>
  </si>
  <si>
    <t>Gate 230L</t>
  </si>
  <si>
    <t>Gate 230R</t>
  </si>
  <si>
    <t>Gate 231</t>
  </si>
  <si>
    <t>Gate 232</t>
  </si>
  <si>
    <t>Gate 233L</t>
  </si>
  <si>
    <t>Gate 233R</t>
  </si>
  <si>
    <t>Gate 234L</t>
  </si>
  <si>
    <t>Gate 234R</t>
  </si>
  <si>
    <t>Gate 236</t>
  </si>
  <si>
    <t>Gate 237L</t>
  </si>
  <si>
    <t>Gate 238</t>
  </si>
  <si>
    <t>Gate 240</t>
  </si>
  <si>
    <t>Gate 304</t>
  </si>
  <si>
    <t>Gate 306</t>
  </si>
  <si>
    <t>757, 767, C-17, C-130, MD11/DC10</t>
  </si>
  <si>
    <t>Gate 307</t>
  </si>
  <si>
    <t>Gate 351</t>
  </si>
  <si>
    <t>Gate 352</t>
  </si>
  <si>
    <t>Gate 353</t>
  </si>
  <si>
    <t>Gate 354</t>
  </si>
  <si>
    <t>Remote 120</t>
  </si>
  <si>
    <t>Remote 122</t>
  </si>
  <si>
    <t>Remote 126</t>
  </si>
  <si>
    <t>Remote 134</t>
  </si>
  <si>
    <t>Remote 136</t>
  </si>
  <si>
    <t>Remote 138</t>
  </si>
  <si>
    <t>Remote 312</t>
  </si>
  <si>
    <t>Remote 313</t>
  </si>
  <si>
    <t>Remote 314</t>
  </si>
  <si>
    <t>Remote 315</t>
  </si>
  <si>
    <t>Remote 316</t>
  </si>
  <si>
    <t>Remote 317</t>
  </si>
  <si>
    <t>Remote 318</t>
  </si>
  <si>
    <t>Remote 319</t>
  </si>
  <si>
    <t>Remote 320</t>
  </si>
  <si>
    <t>Remote 321</t>
  </si>
  <si>
    <t>Remote 322</t>
  </si>
  <si>
    <t>Remote 323</t>
  </si>
  <si>
    <t>Remote 324</t>
  </si>
  <si>
    <t>Remote 325</t>
  </si>
  <si>
    <t>Remote 326</t>
  </si>
  <si>
    <t>Remote 327</t>
  </si>
  <si>
    <t>Remote 328</t>
  </si>
  <si>
    <t>Remote 421</t>
  </si>
  <si>
    <t>Remote 422</t>
  </si>
  <si>
    <t>Remote 423</t>
  </si>
  <si>
    <t>Remote 431</t>
  </si>
  <si>
    <t>Remote 432</t>
  </si>
  <si>
    <t>Remote 433</t>
  </si>
  <si>
    <t>Remote 441</t>
  </si>
  <si>
    <t>Remote 442</t>
  </si>
  <si>
    <t>Remote 443</t>
  </si>
  <si>
    <t>Arrivals</t>
  </si>
  <si>
    <t>Departures</t>
  </si>
  <si>
    <t>Delay arrival</t>
  </si>
  <si>
    <t>Delay departure</t>
  </si>
  <si>
    <t>Planned Duration</t>
  </si>
  <si>
    <t>Real Duration</t>
  </si>
  <si>
    <t>Total Delay</t>
  </si>
  <si>
    <t>IB3206</t>
  </si>
  <si>
    <t>Madrid (MAD)</t>
  </si>
  <si>
    <t>Iberia</t>
  </si>
  <si>
    <t>A20N (EC-NCM)</t>
  </si>
  <si>
    <t>IB3203</t>
  </si>
  <si>
    <t>SK589</t>
  </si>
  <si>
    <t>Stockholm (ARN)</t>
  </si>
  <si>
    <t>SAS</t>
  </si>
  <si>
    <t>A20N (EI-SIL)</t>
  </si>
  <si>
    <t>SK590</t>
  </si>
  <si>
    <t>SK1593</t>
  </si>
  <si>
    <t>Copenhagen (CPH)</t>
  </si>
  <si>
    <t>A20N (LN-RGM)</t>
  </si>
  <si>
    <t>SK1594</t>
  </si>
  <si>
    <t>SN2902</t>
  </si>
  <si>
    <t>Vienna (VIE)</t>
  </si>
  <si>
    <t>Brussels Airlines</t>
  </si>
  <si>
    <t>A20N (OO-SBA)</t>
  </si>
  <si>
    <t>SN3243</t>
  </si>
  <si>
    <t>Kos (KGS)</t>
  </si>
  <si>
    <t>SN3802</t>
  </si>
  <si>
    <t>Faro (FAO)</t>
  </si>
  <si>
    <t>Brussels Airlines (Amare Tomorrowland Livery)</t>
  </si>
  <si>
    <t>A20N (OO-SBB)</t>
  </si>
  <si>
    <t>SN2095</t>
  </si>
  <si>
    <t>London (LHR)</t>
  </si>
  <si>
    <t>SN2104</t>
  </si>
  <si>
    <t>A20N (OO-SBC)</t>
  </si>
  <si>
    <t>SN2093</t>
  </si>
  <si>
    <t>SN2094</t>
  </si>
  <si>
    <t>SN3727</t>
  </si>
  <si>
    <t>SK4743</t>
  </si>
  <si>
    <t>Oslo (OSL)</t>
  </si>
  <si>
    <t>A20N (SE-ROL)</t>
  </si>
  <si>
    <t>SK4744</t>
  </si>
  <si>
    <t>GQ800</t>
  </si>
  <si>
    <t>Athens (ATH)</t>
  </si>
  <si>
    <t>SKY express</t>
  </si>
  <si>
    <t>A20N (SX-CHG)</t>
  </si>
  <si>
    <t>GQ801</t>
  </si>
  <si>
    <t>A3620</t>
  </si>
  <si>
    <t>Aegean Airlines</t>
  </si>
  <si>
    <t>A20N (SX-NEP)</t>
  </si>
  <si>
    <t>A3621</t>
  </si>
  <si>
    <t>TS154</t>
  </si>
  <si>
    <t>Montreal (YUL)</t>
  </si>
  <si>
    <t>Air Transat</t>
  </si>
  <si>
    <t>A21N (C-GOIK)</t>
  </si>
  <si>
    <t>TS155</t>
  </si>
  <si>
    <t>AZ156</t>
  </si>
  <si>
    <t>Rome (FCO)</t>
  </si>
  <si>
    <t>ITA Airways</t>
  </si>
  <si>
    <t>A21N (EI-HXA)</t>
  </si>
  <si>
    <t>AZ159</t>
  </si>
  <si>
    <t>BA392</t>
  </si>
  <si>
    <t>British Airways</t>
  </si>
  <si>
    <t>A21N (G-NEOR)</t>
  </si>
  <si>
    <t>BA393</t>
  </si>
  <si>
    <t>TK1937</t>
  </si>
  <si>
    <t>Istanbul (IST)</t>
  </si>
  <si>
    <t>Turkish Airlines</t>
  </si>
  <si>
    <t>A21N (TC-LSP)</t>
  </si>
  <si>
    <t>TK1938</t>
  </si>
  <si>
    <t>QY850</t>
  </si>
  <si>
    <t>Leipzig (LEJ)</t>
  </si>
  <si>
    <t>DHL</t>
  </si>
  <si>
    <t>A306 (D-AEAJ)</t>
  </si>
  <si>
    <t>QY851</t>
  </si>
  <si>
    <t>TP640</t>
  </si>
  <si>
    <t>Lisbon (LIS)</t>
  </si>
  <si>
    <t>TAP Air Portugal</t>
  </si>
  <si>
    <t>A319 (CS-TTO)</t>
  </si>
  <si>
    <t>TP641</t>
  </si>
  <si>
    <t>TP642</t>
  </si>
  <si>
    <t>A319 (CS-TTP)</t>
  </si>
  <si>
    <t>TP643</t>
  </si>
  <si>
    <t>LH2288</t>
  </si>
  <si>
    <t>Munich (MUC)</t>
  </si>
  <si>
    <t>Lufthansa</t>
  </si>
  <si>
    <t>A319 (D-AIBF)</t>
  </si>
  <si>
    <t>LH2289</t>
  </si>
  <si>
    <t>LH2282</t>
  </si>
  <si>
    <t>A319 (D-AIBL)</t>
  </si>
  <si>
    <t>LH2283</t>
  </si>
  <si>
    <t>LH1008</t>
  </si>
  <si>
    <t>Frankfurt (FRA)</t>
  </si>
  <si>
    <t>A319 (D-AILD)</t>
  </si>
  <si>
    <t>LH1009</t>
  </si>
  <si>
    <t>LH1012</t>
  </si>
  <si>
    <t>A319 (D-AILE)</t>
  </si>
  <si>
    <t>LH1013</t>
  </si>
  <si>
    <t>AZ148</t>
  </si>
  <si>
    <t>Milan (LIN)</t>
  </si>
  <si>
    <t>A319 (EI-IMV)</t>
  </si>
  <si>
    <t>AZ151</t>
  </si>
  <si>
    <t>SN2298</t>
  </si>
  <si>
    <t>A319 (OO-SSA)</t>
  </si>
  <si>
    <t>SN2257</t>
  </si>
  <si>
    <t>SN2258</t>
  </si>
  <si>
    <t>SN3125</t>
  </si>
  <si>
    <t>Bologna (BLQ)</t>
  </si>
  <si>
    <t>Milan (MXP)</t>
  </si>
  <si>
    <t>SN2608</t>
  </si>
  <si>
    <t>A319 (OO-SSB)</t>
  </si>
  <si>
    <t>SN2624</t>
  </si>
  <si>
    <t>Hamburg (HAM)</t>
  </si>
  <si>
    <t>SN2623</t>
  </si>
  <si>
    <t>SN2317</t>
  </si>
  <si>
    <t>Gothenburg (GOT)</t>
  </si>
  <si>
    <t>SN2816</t>
  </si>
  <si>
    <t>Prague (PRG)</t>
  </si>
  <si>
    <t>A319 (OO-SSF)</t>
  </si>
  <si>
    <t>SN3139</t>
  </si>
  <si>
    <t>Florence (FLR)</t>
  </si>
  <si>
    <t>SN3140</t>
  </si>
  <si>
    <t>SN3343</t>
  </si>
  <si>
    <t>Ljubljana (LJU)</t>
  </si>
  <si>
    <t>Geneva (GVA)</t>
  </si>
  <si>
    <t>SN2174</t>
  </si>
  <si>
    <t>Manchester (MAN)</t>
  </si>
  <si>
    <t>A319 (OO-SSJ)</t>
  </si>
  <si>
    <t>SN2283</t>
  </si>
  <si>
    <t>SN2184</t>
  </si>
  <si>
    <t>A319 (OO-SSL)</t>
  </si>
  <si>
    <t>SN3667</t>
  </si>
  <si>
    <t>Toulouse (TLS)</t>
  </si>
  <si>
    <t>SN3668</t>
  </si>
  <si>
    <t>SN2825</t>
  </si>
  <si>
    <t>Budapest (BUD)</t>
  </si>
  <si>
    <t>Venice (VCE)</t>
  </si>
  <si>
    <t>SN3154</t>
  </si>
  <si>
    <t>A319 (OO-SSN)</t>
  </si>
  <si>
    <t>SN3598</t>
  </si>
  <si>
    <t>Marseille (MRS)</t>
  </si>
  <si>
    <t>SN3597</t>
  </si>
  <si>
    <t>SN2721</t>
  </si>
  <si>
    <t>SN2630</t>
  </si>
  <si>
    <t>A319 (OO-SSO)</t>
  </si>
  <si>
    <t>SN2547</t>
  </si>
  <si>
    <t>Krakow (KRK)</t>
  </si>
  <si>
    <t>SN2548</t>
  </si>
  <si>
    <t>SN2811</t>
  </si>
  <si>
    <t>SN2106</t>
  </si>
  <si>
    <t>A319 (OO-SSQ)</t>
  </si>
  <si>
    <t>SN2063</t>
  </si>
  <si>
    <t>Edinburgh (EDI)</t>
  </si>
  <si>
    <t>SN2064</t>
  </si>
  <si>
    <t>SN2627</t>
  </si>
  <si>
    <t>SN2324</t>
  </si>
  <si>
    <t>A319 (OO-SSS)</t>
  </si>
  <si>
    <t>SN3587</t>
  </si>
  <si>
    <t>Lyon (LYS)</t>
  </si>
  <si>
    <t>SN3588</t>
  </si>
  <si>
    <t>SN2645</t>
  </si>
  <si>
    <t>SN3152</t>
  </si>
  <si>
    <t>A319 (OO-SSU)</t>
  </si>
  <si>
    <t>SN3201</t>
  </si>
  <si>
    <t>SN3202</t>
  </si>
  <si>
    <t>SN2555</t>
  </si>
  <si>
    <t>Warsaw (WAW)</t>
  </si>
  <si>
    <t>SN3604</t>
  </si>
  <si>
    <t>A319 (OO-SSV)</t>
  </si>
  <si>
    <t>SN2809</t>
  </si>
  <si>
    <t>SN2810</t>
  </si>
  <si>
    <t>SN2371</t>
  </si>
  <si>
    <t>Vilnius (VNO)</t>
  </si>
  <si>
    <t>SN3208</t>
  </si>
  <si>
    <t>A319 (OO-SSW)</t>
  </si>
  <si>
    <t>SN2291</t>
  </si>
  <si>
    <t>SN2292</t>
  </si>
  <si>
    <t>A3539</t>
  </si>
  <si>
    <t>Thessaloniki (SKG)</t>
  </si>
  <si>
    <t>A319 (OO-SSX)</t>
  </si>
  <si>
    <t>SN3676</t>
  </si>
  <si>
    <t>SN3147</t>
  </si>
  <si>
    <t>SN3148</t>
  </si>
  <si>
    <t>SN2293</t>
  </si>
  <si>
    <t>SN2642</t>
  </si>
  <si>
    <t>Brussels Airlines (Star Alliance Livery)</t>
  </si>
  <si>
    <t>A319 (OO-SSY)</t>
  </si>
  <si>
    <t>SN3712</t>
  </si>
  <si>
    <t>Bilbao (BIO)</t>
  </si>
  <si>
    <t>SN3711</t>
  </si>
  <si>
    <t>SN2647</t>
  </si>
  <si>
    <t>JU270</t>
  </si>
  <si>
    <t>Belgrade (BEG)</t>
  </si>
  <si>
    <t>AirSERBIA</t>
  </si>
  <si>
    <t>A319 (YU-APM)</t>
  </si>
  <si>
    <t>JU271</t>
  </si>
  <si>
    <t>3O117</t>
  </si>
  <si>
    <t>Fes (FEZ)</t>
  </si>
  <si>
    <t>Air Arabia</t>
  </si>
  <si>
    <t>A320 (CN-NMI)</t>
  </si>
  <si>
    <t>3O118</t>
  </si>
  <si>
    <t>3O137</t>
  </si>
  <si>
    <t>Tetuan (TTU)</t>
  </si>
  <si>
    <t>A320 (CN-NML)</t>
  </si>
  <si>
    <t>3O138</t>
  </si>
  <si>
    <t>3O113</t>
  </si>
  <si>
    <t>Tangier (TNG)</t>
  </si>
  <si>
    <t>A320 (CN-NMP)</t>
  </si>
  <si>
    <t>3O114</t>
  </si>
  <si>
    <t>3O135</t>
  </si>
  <si>
    <t>Rabat (RBA)</t>
  </si>
  <si>
    <t>A320 (CN-NMT)</t>
  </si>
  <si>
    <t>3O136</t>
  </si>
  <si>
    <t>LH1004</t>
  </si>
  <si>
    <t>A320 (D-AIZT)</t>
  </si>
  <si>
    <t>LH1005</t>
  </si>
  <si>
    <t>TB2342</t>
  </si>
  <si>
    <t>Rhodes (RHO)</t>
  </si>
  <si>
    <t>Leav Aviation</t>
  </si>
  <si>
    <t>A320 (D-ANNE)</t>
  </si>
  <si>
    <t>TB2661</t>
  </si>
  <si>
    <t>VY8986</t>
  </si>
  <si>
    <t>Barcelona (BCN)</t>
  </si>
  <si>
    <t>Vueling</t>
  </si>
  <si>
    <t>A320 (EC-LLM)</t>
  </si>
  <si>
    <t>VY8987</t>
  </si>
  <si>
    <t>VY8920</t>
  </si>
  <si>
    <t>Valencia (VLC)</t>
  </si>
  <si>
    <t>A320 (EC-LOC)</t>
  </si>
  <si>
    <t>VY8921</t>
  </si>
  <si>
    <t>VY2150</t>
  </si>
  <si>
    <t>Malaga (AGP)</t>
  </si>
  <si>
    <t>A320 (EC-MBS)</t>
  </si>
  <si>
    <t>VY2151</t>
  </si>
  <si>
    <t>VY1334</t>
  </si>
  <si>
    <t>Alicante (ALC)</t>
  </si>
  <si>
    <t>A320 (EC-MKM)</t>
  </si>
  <si>
    <t>VY1335</t>
  </si>
  <si>
    <t>VY8980</t>
  </si>
  <si>
    <t>A320 (EC-MKN)</t>
  </si>
  <si>
    <t>VY8981</t>
  </si>
  <si>
    <t>VY1470</t>
  </si>
  <si>
    <t>A320 (EC-MXG)</t>
  </si>
  <si>
    <t>VY1471</t>
  </si>
  <si>
    <t>EI630</t>
  </si>
  <si>
    <t>Dublin (DUB)</t>
  </si>
  <si>
    <t>Aer Lingus</t>
  </si>
  <si>
    <t>A320 (EI-DES)</t>
  </si>
  <si>
    <t>EI631</t>
  </si>
  <si>
    <t>TB1752</t>
  </si>
  <si>
    <t>Tenerife (TFS)</t>
  </si>
  <si>
    <t>SmartLynx</t>
  </si>
  <si>
    <t>A320 (ES-SAA)</t>
  </si>
  <si>
    <t>TB2941</t>
  </si>
  <si>
    <t>Pristina (PRN)</t>
  </si>
  <si>
    <t>TB1012</t>
  </si>
  <si>
    <t>A320 (ES-SAB)</t>
  </si>
  <si>
    <t>TB1753</t>
  </si>
  <si>
    <t>TB2252</t>
  </si>
  <si>
    <t>Heraklion (HER)</t>
  </si>
  <si>
    <t>A320 (ES-SAW)</t>
  </si>
  <si>
    <t>TB2951</t>
  </si>
  <si>
    <t>Tirana (TIA)</t>
  </si>
  <si>
    <t>TB2302</t>
  </si>
  <si>
    <t>A320 (ES-SAX)</t>
  </si>
  <si>
    <t>TB2327</t>
  </si>
  <si>
    <t>Mytilene (MJT)</t>
  </si>
  <si>
    <t>LX786</t>
  </si>
  <si>
    <t>Zurich (ZRH)</t>
  </si>
  <si>
    <t>Swiss</t>
  </si>
  <si>
    <t>A320 (HB-IJI)</t>
  </si>
  <si>
    <t>LX787</t>
  </si>
  <si>
    <t>U21527</t>
  </si>
  <si>
    <t>easyJet</t>
  </si>
  <si>
    <t>A320 (HB-JXL)</t>
  </si>
  <si>
    <t>U21528</t>
  </si>
  <si>
    <t>U21747</t>
  </si>
  <si>
    <t>Nice (NCE)</t>
  </si>
  <si>
    <t>A320 (OE-IJR)</t>
  </si>
  <si>
    <t>U21748</t>
  </si>
  <si>
    <t>OS359</t>
  </si>
  <si>
    <t>Austrian Airlines</t>
  </si>
  <si>
    <t>A320 (OE-LBX)</t>
  </si>
  <si>
    <t>OS360</t>
  </si>
  <si>
    <t>OS351</t>
  </si>
  <si>
    <t>A320 (OE-LXB)</t>
  </si>
  <si>
    <t>OS352</t>
  </si>
  <si>
    <t>SN2288</t>
  </si>
  <si>
    <t>Brussels Airlines (Tintin comics Livery)</t>
  </si>
  <si>
    <t>A320 (OO-SNB)</t>
  </si>
  <si>
    <t>SN3617</t>
  </si>
  <si>
    <t>SN3618</t>
  </si>
  <si>
    <t>SN2905</t>
  </si>
  <si>
    <t>SN2900</t>
  </si>
  <si>
    <t>Yerevan (EVN)</t>
  </si>
  <si>
    <t>A320 (OO-SNE)</t>
  </si>
  <si>
    <t>SN2729</t>
  </si>
  <si>
    <t>SN2730</t>
  </si>
  <si>
    <t>SN3703</t>
  </si>
  <si>
    <t>SN3752</t>
  </si>
  <si>
    <t>A320 (OO-SNF)</t>
  </si>
  <si>
    <t>SN2587</t>
  </si>
  <si>
    <t>Berlin (BER)</t>
  </si>
  <si>
    <t>SN3256</t>
  </si>
  <si>
    <t>A320 (OO-SNH)</t>
  </si>
  <si>
    <t>SN3737</t>
  </si>
  <si>
    <t>SN3634</t>
  </si>
  <si>
    <t>Paris (CDG)</t>
  </si>
  <si>
    <t>A320 (OO-SNI)</t>
  </si>
  <si>
    <t>SN3621</t>
  </si>
  <si>
    <t>SN3772</t>
  </si>
  <si>
    <t>A320 (OO-SNJ)</t>
  </si>
  <si>
    <t>SN3781</t>
  </si>
  <si>
    <t>SN3734</t>
  </si>
  <si>
    <t>A320 (OO-SNK)</t>
  </si>
  <si>
    <t>SN3809</t>
  </si>
  <si>
    <t>Porto (OPO)</t>
  </si>
  <si>
    <t>SN3176</t>
  </si>
  <si>
    <t>A320 (OO-SNL)</t>
  </si>
  <si>
    <t>SN3149</t>
  </si>
  <si>
    <t>SN2592</t>
  </si>
  <si>
    <t>A320 (OO-SNM)</t>
  </si>
  <si>
    <t>SN3169</t>
  </si>
  <si>
    <t>Naples (NAP)</t>
  </si>
  <si>
    <t>SN3721</t>
  </si>
  <si>
    <t>A320 (OO-SNN)</t>
  </si>
  <si>
    <t>SN3732</t>
  </si>
  <si>
    <t>SN2259</t>
  </si>
  <si>
    <t>SN3722</t>
  </si>
  <si>
    <t>SN2830</t>
  </si>
  <si>
    <t>A320 (OO-SNP)</t>
  </si>
  <si>
    <t>SN3811</t>
  </si>
  <si>
    <t>SN3812</t>
  </si>
  <si>
    <t>SN3183</t>
  </si>
  <si>
    <t>SN3632</t>
  </si>
  <si>
    <t>A320 (OO-SNQ)</t>
  </si>
  <si>
    <t>SN3245</t>
  </si>
  <si>
    <t>SN2268</t>
  </si>
  <si>
    <t>A320 (OO-TCH)</t>
  </si>
  <si>
    <t>SN2581</t>
  </si>
  <si>
    <t>SN2582</t>
  </si>
  <si>
    <t>SN3181</t>
  </si>
  <si>
    <t>SN2712</t>
  </si>
  <si>
    <t>A320 (OO-TCQ)</t>
  </si>
  <si>
    <t>SN2213</t>
  </si>
  <si>
    <t>Samos (SMI)</t>
  </si>
  <si>
    <t>SN3594</t>
  </si>
  <si>
    <t>Brussels Airlines (Yes to Europe Livery)</t>
  </si>
  <si>
    <t>A320 (OO-TCV)</t>
  </si>
  <si>
    <t>SN3815</t>
  </si>
  <si>
    <t>SN3816</t>
  </si>
  <si>
    <t>SN3819</t>
  </si>
  <si>
    <t>FH8079</t>
  </si>
  <si>
    <t>Dalaman (DLM)</t>
  </si>
  <si>
    <t>Freebird Airlines</t>
  </si>
  <si>
    <t>A320 (TC-FBO)</t>
  </si>
  <si>
    <t>FH8013</t>
  </si>
  <si>
    <t>Antalya (AYT)</t>
  </si>
  <si>
    <t>FH8014</t>
  </si>
  <si>
    <t>FH8067</t>
  </si>
  <si>
    <t>Bodrum (BJV)</t>
  </si>
  <si>
    <t>TU954</t>
  </si>
  <si>
    <t>Tunis (TUN)</t>
  </si>
  <si>
    <t>Tunisair</t>
  </si>
  <si>
    <t>A320 (TS-IMT)</t>
  </si>
  <si>
    <t>TU955</t>
  </si>
  <si>
    <t>BJ396</t>
  </si>
  <si>
    <t>Nouvelair</t>
  </si>
  <si>
    <t>A320 (TS-INO)</t>
  </si>
  <si>
    <t>BJ397</t>
  </si>
  <si>
    <t>VF65</t>
  </si>
  <si>
    <t>Istanbul (SAW)</t>
  </si>
  <si>
    <t>AJet</t>
  </si>
  <si>
    <t>A320 (YL-LDJ)</t>
  </si>
  <si>
    <t>VF66</t>
  </si>
  <si>
    <t>DN403</t>
  </si>
  <si>
    <t>Bacau (BCM)</t>
  </si>
  <si>
    <t>Dan Air</t>
  </si>
  <si>
    <t>A320 (YR-DSE)</t>
  </si>
  <si>
    <t>DN404</t>
  </si>
  <si>
    <t>H4245</t>
  </si>
  <si>
    <t>Bucharest (OTP)</t>
  </si>
  <si>
    <t>HiSky</t>
  </si>
  <si>
    <t>A320 (YR-SUN)</t>
  </si>
  <si>
    <t>H4246</t>
  </si>
  <si>
    <t>TK1943</t>
  </si>
  <si>
    <t>A321 (TC-JTK)</t>
  </si>
  <si>
    <t>TK1944</t>
  </si>
  <si>
    <t>TK1939</t>
  </si>
  <si>
    <t>A321 (TC-JTR)</t>
  </si>
  <si>
    <t>TK1940</t>
  </si>
  <si>
    <t>QY120</t>
  </si>
  <si>
    <t>A332 (D-ALMD)</t>
  </si>
  <si>
    <t>QY81</t>
  </si>
  <si>
    <t>Lagos (LOS)</t>
  </si>
  <si>
    <t>AC832</t>
  </si>
  <si>
    <t>Air Canada</t>
  </si>
  <si>
    <t>A333 (C-GEFA)</t>
  </si>
  <si>
    <t>AC833</t>
  </si>
  <si>
    <t>SN379</t>
  </si>
  <si>
    <t>Yaounde (NSI)</t>
  </si>
  <si>
    <t>A333 (OO-SFB)</t>
  </si>
  <si>
    <t>SN501</t>
  </si>
  <si>
    <t>New York (JFK)</t>
  </si>
  <si>
    <t>SN465</t>
  </si>
  <si>
    <t>Entebbe (EBB)</t>
  </si>
  <si>
    <t>A333 (OO-SFE)</t>
  </si>
  <si>
    <t>SN241</t>
  </si>
  <si>
    <t>Freetown (FNA)</t>
  </si>
  <si>
    <t>SN502</t>
  </si>
  <si>
    <t>A333 (OO-SFG)</t>
  </si>
  <si>
    <t>SN357</t>
  </si>
  <si>
    <t>Kinshasa (FIH)</t>
  </si>
  <si>
    <t>SN516</t>
  </si>
  <si>
    <t>Washington (IAD)</t>
  </si>
  <si>
    <t>A333 (OO-SFJ)</t>
  </si>
  <si>
    <t>SN203</t>
  </si>
  <si>
    <t>Dakar (DSS)</t>
  </si>
  <si>
    <t>SN358</t>
  </si>
  <si>
    <t>A333 (OO-SFX)</t>
  </si>
  <si>
    <t>SN467</t>
  </si>
  <si>
    <t>Kigali (KGL)</t>
  </si>
  <si>
    <t>FR5236</t>
  </si>
  <si>
    <t>Pisa (PSA)</t>
  </si>
  <si>
    <t>Ryanair</t>
  </si>
  <si>
    <t>B38M (9H-VVL)</t>
  </si>
  <si>
    <t>FR5235</t>
  </si>
  <si>
    <t>FR2948</t>
  </si>
  <si>
    <t>B38M (EI-HGG)</t>
  </si>
  <si>
    <t>FR2947</t>
  </si>
  <si>
    <t>FR2918</t>
  </si>
  <si>
    <t>B38M (EI-IGW)</t>
  </si>
  <si>
    <t>FR2917</t>
  </si>
  <si>
    <t>TB1112</t>
  </si>
  <si>
    <t>TUI</t>
  </si>
  <si>
    <t>B38M (OO-TMS)</t>
  </si>
  <si>
    <t>TB1911</t>
  </si>
  <si>
    <t>Funchal (FNC)</t>
  </si>
  <si>
    <t>FI554</t>
  </si>
  <si>
    <t>Reykjavik (KEF)</t>
  </si>
  <si>
    <t>Icelandair</t>
  </si>
  <si>
    <t>B38M (TF-ICM)</t>
  </si>
  <si>
    <t>FI555</t>
  </si>
  <si>
    <t>TB3581</t>
  </si>
  <si>
    <t>Palermo (PMO)</t>
  </si>
  <si>
    <t>B737 (OO-JAL)</t>
  </si>
  <si>
    <t>TB2421</t>
  </si>
  <si>
    <t>Zakynthos (ZTH)</t>
  </si>
  <si>
    <t>TB2932</t>
  </si>
  <si>
    <t>Tivat (TIV)</t>
  </si>
  <si>
    <t>B737 (OO-JAR)</t>
  </si>
  <si>
    <t>TB2161</t>
  </si>
  <si>
    <t>Patras (GPA)</t>
  </si>
  <si>
    <t>AH2062</t>
  </si>
  <si>
    <t>Algiers (ALG)</t>
  </si>
  <si>
    <t>Air Algerie</t>
  </si>
  <si>
    <t>B738 (7T-VKP)</t>
  </si>
  <si>
    <t>AH2063</t>
  </si>
  <si>
    <t>XR1783</t>
  </si>
  <si>
    <t>Corendon Airlines</t>
  </si>
  <si>
    <t>B738 (9H-CXB)</t>
  </si>
  <si>
    <t>XR7651</t>
  </si>
  <si>
    <t>Burgas (BOJ)</t>
  </si>
  <si>
    <t>FR162</t>
  </si>
  <si>
    <t>B738 (9H-QCO)</t>
  </si>
  <si>
    <t>FR163</t>
  </si>
  <si>
    <t>AT832</t>
  </si>
  <si>
    <t>Casablanca (CMN)</t>
  </si>
  <si>
    <t>Royal Air Maroc</t>
  </si>
  <si>
    <t>B738 (CN-RGW)</t>
  </si>
  <si>
    <t>AT833</t>
  </si>
  <si>
    <t>UX1171</t>
  </si>
  <si>
    <t>Air Europa</t>
  </si>
  <si>
    <t>B738 (EC-NZR)</t>
  </si>
  <si>
    <t>UX1172</t>
  </si>
  <si>
    <t>FR2924</t>
  </si>
  <si>
    <t>B738 (EI-DHZ)</t>
  </si>
  <si>
    <t>FR2923</t>
  </si>
  <si>
    <t>FR1452</t>
  </si>
  <si>
    <t>B738 (EI-EBY)</t>
  </si>
  <si>
    <t>FR1453</t>
  </si>
  <si>
    <t>FR657</t>
  </si>
  <si>
    <t>B738 (EI-EVH)</t>
  </si>
  <si>
    <t>FR658</t>
  </si>
  <si>
    <t>FR2929</t>
  </si>
  <si>
    <t>B738 (EI-EVS)</t>
  </si>
  <si>
    <t>FR2928</t>
  </si>
  <si>
    <t>TB746</t>
  </si>
  <si>
    <t>TUI (Family Life Hotels Livery)</t>
  </si>
  <si>
    <t>B738 (OO-JAF)</t>
  </si>
  <si>
    <t>TB3407</t>
  </si>
  <si>
    <t>TB314</t>
  </si>
  <si>
    <t>Eskisehir (AOE)</t>
  </si>
  <si>
    <t>B738 (OO-JAX)</t>
  </si>
  <si>
    <t>TB1411</t>
  </si>
  <si>
    <t>Palma de Mallorca (PMI)</t>
  </si>
  <si>
    <t>TB1412</t>
  </si>
  <si>
    <t>TB2511</t>
  </si>
  <si>
    <t>Agadir (AGA)</t>
  </si>
  <si>
    <t>TB2182</t>
  </si>
  <si>
    <t>Chania (CHQ)</t>
  </si>
  <si>
    <t>B738 (OO-TUV)</t>
  </si>
  <si>
    <t>TB1551</t>
  </si>
  <si>
    <t>Gran Canaria (LPA)</t>
  </si>
  <si>
    <t>HV9078</t>
  </si>
  <si>
    <t>Seville (SVQ)</t>
  </si>
  <si>
    <t>Transavia</t>
  </si>
  <si>
    <t>B738 (PH-HSB)</t>
  </si>
  <si>
    <t>HV9009</t>
  </si>
  <si>
    <t>Ibiza (IBZ)</t>
  </si>
  <si>
    <t>HV9008</t>
  </si>
  <si>
    <t>B738 (PH-HXM)</t>
  </si>
  <si>
    <t>HV9033</t>
  </si>
  <si>
    <t>MS725</t>
  </si>
  <si>
    <t>Cairo (CAI)</t>
  </si>
  <si>
    <t>Egyptair</t>
  </si>
  <si>
    <t>B738 (SU-GED)</t>
  </si>
  <si>
    <t>MS726</t>
  </si>
  <si>
    <t>XQ932</t>
  </si>
  <si>
    <t>Izmir (ADB)</t>
  </si>
  <si>
    <t>SunExpress</t>
  </si>
  <si>
    <t>B738 (TC-SPA)</t>
  </si>
  <si>
    <t>XQ757</t>
  </si>
  <si>
    <t>XQ4</t>
  </si>
  <si>
    <t>XQ933</t>
  </si>
  <si>
    <t>XQ774</t>
  </si>
  <si>
    <t>Ankara (ESB)</t>
  </si>
  <si>
    <t>B738 (TC-SPH)</t>
  </si>
  <si>
    <t>XQ775</t>
  </si>
  <si>
    <t>XQ550</t>
  </si>
  <si>
    <t>B738 (TC-SPJ)</t>
  </si>
  <si>
    <t>XQ551</t>
  </si>
  <si>
    <t>UA618</t>
  </si>
  <si>
    <t>New York (EWR)</t>
  </si>
  <si>
    <t>United Airlines</t>
  </si>
  <si>
    <t>B752 (N17128)</t>
  </si>
  <si>
    <t>UA619</t>
  </si>
  <si>
    <t>DL140</t>
  </si>
  <si>
    <t>Delta Air Lines</t>
  </si>
  <si>
    <t>B763 (N1201P)</t>
  </si>
  <si>
    <t>DL141</t>
  </si>
  <si>
    <t>QR8114</t>
  </si>
  <si>
    <t>Chicago (ORD)</t>
  </si>
  <si>
    <t>Qatar Cargo</t>
  </si>
  <si>
    <t>B77L (A7-BFJ)</t>
  </si>
  <si>
    <t>Doha (DOH)</t>
  </si>
  <si>
    <t>ET3714</t>
  </si>
  <si>
    <t>Addis Ababa (ADD)</t>
  </si>
  <si>
    <t>Ethiopian Cargo</t>
  </si>
  <si>
    <t>B77L (ET-APU)</t>
  </si>
  <si>
    <t>ET3713</t>
  </si>
  <si>
    <t>Dubai (DWC)</t>
  </si>
  <si>
    <t>K4645</t>
  </si>
  <si>
    <t>Cincinnati (CVG)</t>
  </si>
  <si>
    <t>B77L (N775CK)</t>
  </si>
  <si>
    <t>Hong Kong (HKG)</t>
  </si>
  <si>
    <t>EK183</t>
  </si>
  <si>
    <t>Dubai (DXB)</t>
  </si>
  <si>
    <t>Emirates</t>
  </si>
  <si>
    <t>B77W (A6-EQJ)</t>
  </si>
  <si>
    <t>EK184</t>
  </si>
  <si>
    <t>EK181</t>
  </si>
  <si>
    <t>B77W (A6-EQL)</t>
  </si>
  <si>
    <t>EK182</t>
  </si>
  <si>
    <t>UA950</t>
  </si>
  <si>
    <t>B77W (N2747U)</t>
  </si>
  <si>
    <t>UA951</t>
  </si>
  <si>
    <t>QR193</t>
  </si>
  <si>
    <t>Qatar Airways</t>
  </si>
  <si>
    <t>B788 (A7-BDD)</t>
  </si>
  <si>
    <t>QR194</t>
  </si>
  <si>
    <t>TB165</t>
  </si>
  <si>
    <t>Montego Bay (MBJ)</t>
  </si>
  <si>
    <t>B788 (PH-TFL)</t>
  </si>
  <si>
    <t>TB351</t>
  </si>
  <si>
    <t>Cancun (CUN)</t>
  </si>
  <si>
    <t>EY57</t>
  </si>
  <si>
    <t>Abu Dhabi (AUH)</t>
  </si>
  <si>
    <t>Etihad Airways</t>
  </si>
  <si>
    <t>B789 (A6-BLM)</t>
  </si>
  <si>
    <t>EY58</t>
  </si>
  <si>
    <t>HU759</t>
  </si>
  <si>
    <t>Shenzhen (SZX)</t>
  </si>
  <si>
    <t>Hainan Airlines</t>
  </si>
  <si>
    <t>B789 (B-1345)</t>
  </si>
  <si>
    <t>HU760</t>
  </si>
  <si>
    <t>HU491</t>
  </si>
  <si>
    <t>Beijing (PEK)</t>
  </si>
  <si>
    <t>B789 (B-208S)</t>
  </si>
  <si>
    <t>HU492</t>
  </si>
  <si>
    <t>AC826</t>
  </si>
  <si>
    <t>Toronto (YYZ)</t>
  </si>
  <si>
    <t>B789 (C-FRTW)</t>
  </si>
  <si>
    <t>AC827</t>
  </si>
  <si>
    <t>UA999</t>
  </si>
  <si>
    <t>B78X (N17017)</t>
  </si>
  <si>
    <t>UA973</t>
  </si>
  <si>
    <t>UA972</t>
  </si>
  <si>
    <t>B78X (N91007)</t>
  </si>
  <si>
    <t>UA998</t>
  </si>
  <si>
    <t>LX780</t>
  </si>
  <si>
    <t>BCS1 (HB-JBF)</t>
  </si>
  <si>
    <t>LX781</t>
  </si>
  <si>
    <t>AZ150</t>
  </si>
  <si>
    <t>BCS3 (EI-HHP)</t>
  </si>
  <si>
    <t>AZ149</t>
  </si>
  <si>
    <t>LX790</t>
  </si>
  <si>
    <t>BCS3 (HB-JCF)</t>
  </si>
  <si>
    <t>LX791</t>
  </si>
  <si>
    <t>BT601</t>
  </si>
  <si>
    <t>Riga (RIX)</t>
  </si>
  <si>
    <t>Air Baltic</t>
  </si>
  <si>
    <t>BCS3 (YL-ABC)</t>
  </si>
  <si>
    <t>BT602</t>
  </si>
  <si>
    <t>BT851</t>
  </si>
  <si>
    <t>Tallinn (TLL)</t>
  </si>
  <si>
    <t>BCS3 (YL-ABM)</t>
  </si>
  <si>
    <t>BT852</t>
  </si>
  <si>
    <t>GlobeAir</t>
  </si>
  <si>
    <t>C510 (OE-FWF)</t>
  </si>
  <si>
    <t>Genoa (GOA)</t>
  </si>
  <si>
    <t>-</t>
  </si>
  <si>
    <t>C56X (D-CAWO)</t>
  </si>
  <si>
    <t>Stuttgart (STR)</t>
  </si>
  <si>
    <t>C680 (D-CARO)</t>
  </si>
  <si>
    <t>LH2286</t>
  </si>
  <si>
    <t>CRJ9 (D-ACNH)</t>
  </si>
  <si>
    <t>LH2287</t>
  </si>
  <si>
    <t>OU456</t>
  </si>
  <si>
    <t>Zagreb (ZAG)</t>
  </si>
  <si>
    <t>Croatia Airlines</t>
  </si>
  <si>
    <t>DH8D (9A-CQF)</t>
  </si>
  <si>
    <t>OU457</t>
  </si>
  <si>
    <t>LH1010</t>
  </si>
  <si>
    <t>E190 (D-AECH)</t>
  </si>
  <si>
    <t>LH1011</t>
  </si>
  <si>
    <t>KL1703</t>
  </si>
  <si>
    <t>Amsterdam (AMS)</t>
  </si>
  <si>
    <t>KLM</t>
  </si>
  <si>
    <t>E190 (PH-EZC)</t>
  </si>
  <si>
    <t>KL1704</t>
  </si>
  <si>
    <t>SK593</t>
  </si>
  <si>
    <t>E195 (SE-RSL)</t>
  </si>
  <si>
    <t>SK594</t>
  </si>
  <si>
    <t>LO235</t>
  </si>
  <si>
    <t>LOT (Podkarpackie Livery)</t>
  </si>
  <si>
    <t>E195 (SP-LNA)</t>
  </si>
  <si>
    <t>LO236</t>
  </si>
  <si>
    <t>WF1890</t>
  </si>
  <si>
    <t>Bergen (BGO)</t>
  </si>
  <si>
    <t>Wideroe</t>
  </si>
  <si>
    <t>E290 (LN-WEC)</t>
  </si>
  <si>
    <t>WF1891</t>
  </si>
  <si>
    <t>H5721</t>
  </si>
  <si>
    <t>Murcia (RMU)</t>
  </si>
  <si>
    <t>VistaJet</t>
  </si>
  <si>
    <t>E35L (D-AIRZ)</t>
  </si>
  <si>
    <t>Cannes (CEQ)</t>
  </si>
  <si>
    <t>KL1705</t>
  </si>
  <si>
    <t>E75S (PH-EXP)</t>
  </si>
  <si>
    <t>KL1706</t>
  </si>
  <si>
    <t>UNI132</t>
  </si>
  <si>
    <t>Unicair</t>
  </si>
  <si>
    <t>LJ45 (D-CICU)</t>
  </si>
  <si>
    <t>Cologne (CGN)</t>
  </si>
  <si>
    <t>Al Hoceima (AHU)</t>
  </si>
  <si>
    <t>Luxembourg Air Ambulance</t>
  </si>
  <si>
    <t>LJ45 (LX-TWO)</t>
  </si>
  <si>
    <t>Luxembourg (LUX)</t>
  </si>
  <si>
    <t>ETA</t>
  </si>
  <si>
    <t>RTA</t>
  </si>
  <si>
    <t>ETD</t>
  </si>
  <si>
    <t>RTD</t>
  </si>
  <si>
    <t>Flight</t>
  </si>
  <si>
    <t>Origin</t>
  </si>
  <si>
    <t>Code</t>
  </si>
  <si>
    <t>Destination</t>
  </si>
  <si>
    <t>Or = Dest</t>
  </si>
  <si>
    <t>Mean:</t>
  </si>
  <si>
    <t>Stand. dev.:</t>
  </si>
  <si>
    <t>Max length (m)</t>
  </si>
  <si>
    <t>AC size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</si>
</sst>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[$-F400]h:mm:ss\ AM/PM"/>
    <numFmt numFmtId="166" formatCode="[$]hh:mm;@" x16r2:formatCode16="[$-en-BE,1]hh:mm;@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201D1E"/>
      <name val="Calibri"/>
      <family val="2"/>
      <scheme val="minor"/>
    </font>
    <font>
      <sz val="12"/>
      <color rgb="FF201D1E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rgb="FF333333"/>
      <name val="Open Sans"/>
    </font>
    <font>
      <sz val="12"/>
      <color rgb="FF327DB6"/>
      <name val="Open Sans"/>
    </font>
    <font>
      <b/>
      <sz val="16"/>
      <color theme="1"/>
      <name val="Calibri"/>
      <family val="2"/>
      <scheme val="minor"/>
    </font>
    <font>
      <sz val="13"/>
      <color rgb="FF333333"/>
      <name val="Open Sans"/>
    </font>
    <font>
      <sz val="13"/>
      <color rgb="FF327DB6"/>
      <name val="Open Sans"/>
    </font>
    <font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20" fontId="0" fillId="0" borderId="0" xfId="0" applyNumberFormat="1" applyAlignment="1">
      <alignment vertical="center"/>
    </xf>
    <xf numFmtId="20" fontId="0" fillId="0" borderId="0" xfId="0" applyNumberFormat="1" applyAlignment="1">
      <alignment horizontal="right"/>
    </xf>
    <xf numFmtId="0" fontId="4" fillId="0" borderId="0" xfId="1"/>
    <xf numFmtId="0" fontId="8" fillId="0" borderId="0" xfId="0" applyFont="1"/>
    <xf numFmtId="0" fontId="7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9" fillId="0" borderId="0" xfId="0" applyFont="1"/>
    <xf numFmtId="0" fontId="1" fillId="0" borderId="2" xfId="0" applyFont="1" applyBorder="1" applyAlignment="1">
      <alignment horizontal="center" vertical="center" wrapText="1"/>
    </xf>
    <xf numFmtId="165" fontId="10" fillId="0" borderId="0" xfId="0" applyNumberFormat="1" applyFont="1" applyAlignment="1">
      <alignment vertical="center"/>
    </xf>
    <xf numFmtId="0" fontId="11" fillId="0" borderId="0" xfId="0" applyFont="1"/>
    <xf numFmtId="0" fontId="10" fillId="0" borderId="0" xfId="0" applyFont="1"/>
    <xf numFmtId="0" fontId="12" fillId="0" borderId="1" xfId="0" applyFont="1" applyBorder="1" applyAlignment="1">
      <alignment horizontal="center" vertical="center"/>
    </xf>
    <xf numFmtId="0" fontId="4" fillId="0" borderId="0" xfId="1" applyBorder="1"/>
    <xf numFmtId="0" fontId="0" fillId="0" borderId="0" xfId="0" applyAlignment="1">
      <alignment horizontal="center"/>
    </xf>
    <xf numFmtId="165" fontId="0" fillId="0" borderId="0" xfId="0" applyNumberFormat="1"/>
    <xf numFmtId="20" fontId="4" fillId="0" borderId="0" xfId="1" applyNumberFormat="1"/>
    <xf numFmtId="166" fontId="10" fillId="0" borderId="0" xfId="0" applyNumberFormat="1" applyFont="1"/>
    <xf numFmtId="166" fontId="7" fillId="0" borderId="0" xfId="0" applyNumberFormat="1" applyFont="1"/>
    <xf numFmtId="166" fontId="0" fillId="0" borderId="0" xfId="0" applyNumberFormat="1"/>
    <xf numFmtId="166" fontId="4" fillId="0" borderId="0" xfId="1" applyNumberFormat="1"/>
    <xf numFmtId="166" fontId="10" fillId="0" borderId="4" xfId="0" applyNumberFormat="1" applyFont="1" applyBorder="1"/>
    <xf numFmtId="166" fontId="0" fillId="0" borderId="4" xfId="0" applyNumberFormat="1" applyBorder="1"/>
    <xf numFmtId="166" fontId="13" fillId="0" borderId="4" xfId="0" applyNumberFormat="1" applyFont="1" applyBorder="1" applyAlignment="1">
      <alignment horizontal="right"/>
    </xf>
    <xf numFmtId="0" fontId="12" fillId="0" borderId="3" xfId="0" applyFont="1" applyBorder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12" fillId="2" borderId="1" xfId="0" applyFont="1" applyFill="1" applyBorder="1" applyAlignment="1">
      <alignment vertical="center"/>
    </xf>
    <xf numFmtId="0" fontId="0" fillId="2" borderId="0" xfId="0" applyFill="1"/>
    <xf numFmtId="0" fontId="13" fillId="2" borderId="0" xfId="0" applyFont="1" applyFill="1"/>
    <xf numFmtId="0" fontId="5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00B05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321733</xdr:colOff>
      <xdr:row>0</xdr:row>
      <xdr:rowOff>0</xdr:rowOff>
    </xdr:from>
    <xdr:to>
      <xdr:col>21</xdr:col>
      <xdr:colOff>238575</xdr:colOff>
      <xdr:row>2</xdr:row>
      <xdr:rowOff>0</xdr:rowOff>
    </xdr:to>
    <xdr:pic macro="[0]!ThisWorkbook.UpdateTimes">
      <xdr:nvPicPr>
        <xdr:cNvPr id="2" name="Graphic 1" descr="Repeat outline">
          <a:extLst>
            <a:ext uri="{FF2B5EF4-FFF2-40B4-BE49-F238E27FC236}">
              <a16:creationId xmlns:a16="http://schemas.microsoft.com/office/drawing/2014/main" id="{97D616DD-BD83-0E4E-A1E0-7B27A2C88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183600" y="0"/>
          <a:ext cx="746575" cy="745067"/>
        </a:xfrm>
        <a:prstGeom prst="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bliqueBottomLeft"/>
          <a:lightRig rig="threePt" dir="t"/>
        </a:scene3d>
      </xdr:spPr>
    </xdr:pic>
    <xdr:clientData/>
  </xdr:twoCellAnchor>
  <xdr:oneCellAnchor>
    <xdr:from>
      <xdr:col>21</xdr:col>
      <xdr:colOff>457201</xdr:colOff>
      <xdr:row>0</xdr:row>
      <xdr:rowOff>206984</xdr:rowOff>
    </xdr:from>
    <xdr:ext cx="1981200" cy="342786"/>
    <xdr:sp macro="[0]!ThisWorkbook.RemoveAllBorders" textlink="">
      <xdr:nvSpPr>
        <xdr:cNvPr id="3" name="TextBox 2">
          <a:extLst>
            <a:ext uri="{FF2B5EF4-FFF2-40B4-BE49-F238E27FC236}">
              <a16:creationId xmlns:a16="http://schemas.microsoft.com/office/drawing/2014/main" id="{4AD09453-46C3-F62E-4260-48148ED5C9A3}"/>
            </a:ext>
          </a:extLst>
        </xdr:cNvPr>
        <xdr:cNvSpPr txBox="1"/>
      </xdr:nvSpPr>
      <xdr:spPr>
        <a:xfrm>
          <a:off x="22148801" y="206984"/>
          <a:ext cx="1981200" cy="342786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GB" sz="1600" b="1">
              <a:solidFill>
                <a:schemeClr val="bg1"/>
              </a:solidFill>
            </a:rPr>
            <a:t>Remove</a:t>
          </a:r>
          <a:r>
            <a:rPr lang="en-GB" sz="1600" b="1" baseline="0">
              <a:solidFill>
                <a:schemeClr val="bg1"/>
              </a:solidFill>
            </a:rPr>
            <a:t> all b</a:t>
          </a:r>
          <a:r>
            <a:rPr lang="en-GB" sz="1600" b="1">
              <a:solidFill>
                <a:schemeClr val="bg1"/>
              </a:solidFill>
            </a:rPr>
            <a:t>orders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flightradar24.com/data/airports/tun" TargetMode="External"/><Relationship Id="rId170" Type="http://schemas.openxmlformats.org/officeDocument/2006/relationships/hyperlink" Target="https://www.flightradar24.com/data/airports/vce" TargetMode="External"/><Relationship Id="rId268" Type="http://schemas.openxmlformats.org/officeDocument/2006/relationships/hyperlink" Target="https://www.flightradar24.com/data/aircraft/d-acnh" TargetMode="External"/><Relationship Id="rId475" Type="http://schemas.openxmlformats.org/officeDocument/2006/relationships/hyperlink" Target="https://www.flightradar24.com/data/aircraft/ei-imv" TargetMode="External"/><Relationship Id="rId682" Type="http://schemas.openxmlformats.org/officeDocument/2006/relationships/hyperlink" Target="https://www.flightradar24.com/data/aircraft/9a-cqf" TargetMode="External"/><Relationship Id="rId128" Type="http://schemas.openxmlformats.org/officeDocument/2006/relationships/hyperlink" Target="https://www.flightradar24.com/data/airlines/x3-tui" TargetMode="External"/><Relationship Id="rId335" Type="http://schemas.openxmlformats.org/officeDocument/2006/relationships/hyperlink" Target="https://www.flightradar24.com/data/airports/ewr" TargetMode="External"/><Relationship Id="rId542" Type="http://schemas.openxmlformats.org/officeDocument/2006/relationships/hyperlink" Target="https://www.flightradar24.com/data/airports/auh" TargetMode="External"/><Relationship Id="rId987" Type="http://schemas.openxmlformats.org/officeDocument/2006/relationships/hyperlink" Target="https://www.flightradar24.com/data/airlines/sn-bel" TargetMode="External"/><Relationship Id="rId1172" Type="http://schemas.openxmlformats.org/officeDocument/2006/relationships/hyperlink" Target="https://www.flightradar24.com/data/airlines/sn-bel" TargetMode="External"/><Relationship Id="rId402" Type="http://schemas.openxmlformats.org/officeDocument/2006/relationships/hyperlink" Target="https://www.flightradar24.com/data/airlines/lo-lot" TargetMode="External"/><Relationship Id="rId847" Type="http://schemas.openxmlformats.org/officeDocument/2006/relationships/hyperlink" Target="https://www.flightradar24.com/data/airlines/sn-bel" TargetMode="External"/><Relationship Id="rId1032" Type="http://schemas.openxmlformats.org/officeDocument/2006/relationships/hyperlink" Target="https://www.flightradar24.com/data/airports/fra" TargetMode="External"/><Relationship Id="rId707" Type="http://schemas.openxmlformats.org/officeDocument/2006/relationships/hyperlink" Target="https://www.flightradar24.com/data/flights/ts155" TargetMode="External"/><Relationship Id="rId914" Type="http://schemas.openxmlformats.org/officeDocument/2006/relationships/hyperlink" Target="https://www.flightradar24.com/data/aircraft/oo-sne" TargetMode="External"/><Relationship Id="rId43" Type="http://schemas.openxmlformats.org/officeDocument/2006/relationships/hyperlink" Target="https://www.flightradar24.com/data/airports/fao" TargetMode="External"/><Relationship Id="rId192" Type="http://schemas.openxmlformats.org/officeDocument/2006/relationships/hyperlink" Target="https://www.flightradar24.com/data/airports/man" TargetMode="External"/><Relationship Id="rId497" Type="http://schemas.openxmlformats.org/officeDocument/2006/relationships/hyperlink" Target="https://www.flightradar24.com/data/airports/ber" TargetMode="External"/><Relationship Id="rId357" Type="http://schemas.openxmlformats.org/officeDocument/2006/relationships/hyperlink" Target="https://www.flightradar24.com/data/aircraft/ec-mbs" TargetMode="External"/><Relationship Id="rId1194" Type="http://schemas.openxmlformats.org/officeDocument/2006/relationships/hyperlink" Target="https://www.flightradar24.com/data/aircraft/oo-snp" TargetMode="External"/><Relationship Id="rId217" Type="http://schemas.openxmlformats.org/officeDocument/2006/relationships/hyperlink" Target="https://www.flightradar24.com/data/airlines/sn-bel" TargetMode="External"/><Relationship Id="rId564" Type="http://schemas.openxmlformats.org/officeDocument/2006/relationships/hyperlink" Target="https://www.flightradar24.com/data/aircraft/a7-bfj" TargetMode="External"/><Relationship Id="rId771" Type="http://schemas.openxmlformats.org/officeDocument/2006/relationships/hyperlink" Target="https://www.flightradar24.com/data/airports/alc" TargetMode="External"/><Relationship Id="rId869" Type="http://schemas.openxmlformats.org/officeDocument/2006/relationships/hyperlink" Target="https://www.flightradar24.com/data/flights/ua998" TargetMode="External"/><Relationship Id="rId424" Type="http://schemas.openxmlformats.org/officeDocument/2006/relationships/hyperlink" Target="https://www.flightradar24.com/data/airports/str" TargetMode="External"/><Relationship Id="rId631" Type="http://schemas.openxmlformats.org/officeDocument/2006/relationships/hyperlink" Target="https://www.flightradar24.com/data/flights/fr163" TargetMode="External"/><Relationship Id="rId729" Type="http://schemas.openxmlformats.org/officeDocument/2006/relationships/hyperlink" Target="https://www.flightradar24.com/data/airports/tll" TargetMode="External"/><Relationship Id="rId1054" Type="http://schemas.openxmlformats.org/officeDocument/2006/relationships/hyperlink" Target="https://www.flightradar24.com/data/aircraft/oo-jal" TargetMode="External"/><Relationship Id="rId936" Type="http://schemas.openxmlformats.org/officeDocument/2006/relationships/hyperlink" Target="https://www.flightradar24.com/data/airports/fez" TargetMode="External"/><Relationship Id="rId1121" Type="http://schemas.openxmlformats.org/officeDocument/2006/relationships/hyperlink" Target="https://www.flightradar24.com/data/airlines/hv-tra" TargetMode="External"/><Relationship Id="rId1219" Type="http://schemas.openxmlformats.org/officeDocument/2006/relationships/hyperlink" Target="https://www.flightradar24.com/data/aircraft/oo-ssn" TargetMode="External"/><Relationship Id="rId65" Type="http://schemas.openxmlformats.org/officeDocument/2006/relationships/hyperlink" Target="https://www.flightradar24.com/data/airlines/tp-tap" TargetMode="External"/><Relationship Id="rId281" Type="http://schemas.openxmlformats.org/officeDocument/2006/relationships/hyperlink" Target="https://www.flightradar24.com/data/airports/pmi" TargetMode="External"/><Relationship Id="rId141" Type="http://schemas.openxmlformats.org/officeDocument/2006/relationships/hyperlink" Target="https://www.flightradar24.com/data/flights/sn2548" TargetMode="External"/><Relationship Id="rId379" Type="http://schemas.openxmlformats.org/officeDocument/2006/relationships/hyperlink" Target="https://www.flightradar24.com/data/airlines/sn-bel" TargetMode="External"/><Relationship Id="rId586" Type="http://schemas.openxmlformats.org/officeDocument/2006/relationships/hyperlink" Target="https://www.flightradar24.com/data/flights/ac832" TargetMode="External"/><Relationship Id="rId793" Type="http://schemas.openxmlformats.org/officeDocument/2006/relationships/hyperlink" Target="https://www.flightradar24.com/data/flights/kl1704" TargetMode="External"/><Relationship Id="rId7" Type="http://schemas.openxmlformats.org/officeDocument/2006/relationships/hyperlink" Target="https://www.flightradar24.com/data/aircraft/d-cicu" TargetMode="External"/><Relationship Id="rId239" Type="http://schemas.openxmlformats.org/officeDocument/2006/relationships/hyperlink" Target="https://www.flightradar24.com/data/aircraft/tf-icm" TargetMode="External"/><Relationship Id="rId446" Type="http://schemas.openxmlformats.org/officeDocument/2006/relationships/hyperlink" Target="https://www.flightradar24.com/data/airlines/sn-bel" TargetMode="External"/><Relationship Id="rId653" Type="http://schemas.openxmlformats.org/officeDocument/2006/relationships/hyperlink" Target="https://www.flightradar24.com/data/airlines/qr-qtr" TargetMode="External"/><Relationship Id="rId1076" Type="http://schemas.openxmlformats.org/officeDocument/2006/relationships/hyperlink" Target="https://www.flightradar24.com/data/flights/fr1453" TargetMode="External"/><Relationship Id="rId306" Type="http://schemas.openxmlformats.org/officeDocument/2006/relationships/hyperlink" Target="https://www.flightradar24.com/data/aircraft/cn-nmt" TargetMode="External"/><Relationship Id="rId860" Type="http://schemas.openxmlformats.org/officeDocument/2006/relationships/hyperlink" Target="https://www.flightradar24.com/data/aircraft/sx-nep" TargetMode="External"/><Relationship Id="rId958" Type="http://schemas.openxmlformats.org/officeDocument/2006/relationships/hyperlink" Target="https://www.flightradar24.com/data/airlines/lh-dlh" TargetMode="External"/><Relationship Id="rId1143" Type="http://schemas.openxmlformats.org/officeDocument/2006/relationships/hyperlink" Target="https://www.flightradar24.com/data/aircraft/oo-snh" TargetMode="External"/><Relationship Id="rId87" Type="http://schemas.openxmlformats.org/officeDocument/2006/relationships/hyperlink" Target="https://www.flightradar24.com/data/airports/bio" TargetMode="External"/><Relationship Id="rId513" Type="http://schemas.openxmlformats.org/officeDocument/2006/relationships/hyperlink" Target="https://www.flightradar24.com/data/airlines/lh-dlh" TargetMode="External"/><Relationship Id="rId720" Type="http://schemas.openxmlformats.org/officeDocument/2006/relationships/hyperlink" Target="https://www.flightradar24.com/data/airports/nap" TargetMode="External"/><Relationship Id="rId818" Type="http://schemas.openxmlformats.org/officeDocument/2006/relationships/hyperlink" Target="https://www.flightradar24.com/data/airports/agp" TargetMode="External"/><Relationship Id="rId1003" Type="http://schemas.openxmlformats.org/officeDocument/2006/relationships/hyperlink" Target="https://www.flightradar24.com/data/airports/vno" TargetMode="External"/><Relationship Id="rId1210" Type="http://schemas.openxmlformats.org/officeDocument/2006/relationships/hyperlink" Target="https://www.flightradar24.com/data/airports/lux" TargetMode="External"/><Relationship Id="rId14" Type="http://schemas.openxmlformats.org/officeDocument/2006/relationships/hyperlink" Target="https://www.flightradar24.com/data/flights/at832" TargetMode="External"/><Relationship Id="rId163" Type="http://schemas.openxmlformats.org/officeDocument/2006/relationships/hyperlink" Target="https://www.flightradar24.com/data/flights/ah2062" TargetMode="External"/><Relationship Id="rId370" Type="http://schemas.openxmlformats.org/officeDocument/2006/relationships/hyperlink" Target="https://www.flightradar24.com/data/aircraft/se-rsl" TargetMode="External"/><Relationship Id="rId230" Type="http://schemas.openxmlformats.org/officeDocument/2006/relationships/hyperlink" Target="https://www.flightradar24.com/data/flights/gq800" TargetMode="External"/><Relationship Id="rId468" Type="http://schemas.openxmlformats.org/officeDocument/2006/relationships/hyperlink" Target="https://www.flightradar24.com/data/airports/tls" TargetMode="External"/><Relationship Id="rId675" Type="http://schemas.openxmlformats.org/officeDocument/2006/relationships/hyperlink" Target="https://www.flightradar24.com/data/flights/sn3815" TargetMode="External"/><Relationship Id="rId882" Type="http://schemas.openxmlformats.org/officeDocument/2006/relationships/hyperlink" Target="https://www.flightradar24.com/data/flights/hu760" TargetMode="External"/><Relationship Id="rId1098" Type="http://schemas.openxmlformats.org/officeDocument/2006/relationships/hyperlink" Target="https://www.flightradar24.com/data/flights/a3539" TargetMode="External"/><Relationship Id="rId328" Type="http://schemas.openxmlformats.org/officeDocument/2006/relationships/hyperlink" Target="https://www.flightradar24.com/data/airlines/lh-dlh" TargetMode="External"/><Relationship Id="rId535" Type="http://schemas.openxmlformats.org/officeDocument/2006/relationships/hyperlink" Target="https://www.flightradar24.com/data/flights/u21527" TargetMode="External"/><Relationship Id="rId742" Type="http://schemas.openxmlformats.org/officeDocument/2006/relationships/hyperlink" Target="https://www.flightradar24.com/data/airlines/sn-bel" TargetMode="External"/><Relationship Id="rId1165" Type="http://schemas.openxmlformats.org/officeDocument/2006/relationships/hyperlink" Target="https://www.flightradar24.com/data/airlines/sn-bel" TargetMode="External"/><Relationship Id="rId602" Type="http://schemas.openxmlformats.org/officeDocument/2006/relationships/hyperlink" Target="https://www.flightradar24.com/data/flights/sn2900" TargetMode="External"/><Relationship Id="rId1025" Type="http://schemas.openxmlformats.org/officeDocument/2006/relationships/hyperlink" Target="https://www.flightradar24.com/data/aircraft/oo-snk" TargetMode="External"/><Relationship Id="rId907" Type="http://schemas.openxmlformats.org/officeDocument/2006/relationships/hyperlink" Target="https://www.flightradar24.com/data/airlines/sn-bel" TargetMode="External"/><Relationship Id="rId36" Type="http://schemas.openxmlformats.org/officeDocument/2006/relationships/hyperlink" Target="https://www.flightradar24.com/data/flights/u21747" TargetMode="External"/><Relationship Id="rId185" Type="http://schemas.openxmlformats.org/officeDocument/2006/relationships/hyperlink" Target="https://www.flightradar24.com/data/airlines/tk-thy" TargetMode="External"/><Relationship Id="rId392" Type="http://schemas.openxmlformats.org/officeDocument/2006/relationships/hyperlink" Target="https://www.flightradar24.com/data/airports/alc" TargetMode="External"/><Relationship Id="rId697" Type="http://schemas.openxmlformats.org/officeDocument/2006/relationships/hyperlink" Target="https://www.flightradar24.com/data/airlines/sn-bel" TargetMode="External"/><Relationship Id="rId252" Type="http://schemas.openxmlformats.org/officeDocument/2006/relationships/hyperlink" Target="https://www.flightradar24.com/data/airports/fra" TargetMode="External"/><Relationship Id="rId1187" Type="http://schemas.openxmlformats.org/officeDocument/2006/relationships/hyperlink" Target="https://www.flightradar24.com/data/aircraft/es-saa" TargetMode="External"/><Relationship Id="rId112" Type="http://schemas.openxmlformats.org/officeDocument/2006/relationships/hyperlink" Target="https://www.flightradar24.com/data/aircraft/es-saw" TargetMode="External"/><Relationship Id="rId557" Type="http://schemas.openxmlformats.org/officeDocument/2006/relationships/hyperlink" Target="https://www.flightradar24.com/data/airlines/d0-dhk" TargetMode="External"/><Relationship Id="rId764" Type="http://schemas.openxmlformats.org/officeDocument/2006/relationships/hyperlink" Target="https://www.flightradar24.com/data/airlines/vy-vlg" TargetMode="External"/><Relationship Id="rId971" Type="http://schemas.openxmlformats.org/officeDocument/2006/relationships/hyperlink" Target="https://www.flightradar24.com/data/flights/tb351" TargetMode="External"/><Relationship Id="rId417" Type="http://schemas.openxmlformats.org/officeDocument/2006/relationships/hyperlink" Target="https://www.flightradar24.com/data/aircraft/yl-abm" TargetMode="External"/><Relationship Id="rId624" Type="http://schemas.openxmlformats.org/officeDocument/2006/relationships/hyperlink" Target="https://www.flightradar24.com/data/airports/los" TargetMode="External"/><Relationship Id="rId831" Type="http://schemas.openxmlformats.org/officeDocument/2006/relationships/hyperlink" Target="https://www.flightradar24.com/data/airlines/sn-bel" TargetMode="External"/><Relationship Id="rId1047" Type="http://schemas.openxmlformats.org/officeDocument/2006/relationships/hyperlink" Target="https://www.flightradar24.com/data/aircraft/7t-vkp" TargetMode="External"/><Relationship Id="rId929" Type="http://schemas.openxmlformats.org/officeDocument/2006/relationships/hyperlink" Target="https://www.flightradar24.com/data/airlines/g9-aby" TargetMode="External"/><Relationship Id="rId1114" Type="http://schemas.openxmlformats.org/officeDocument/2006/relationships/hyperlink" Target="https://www.flightradar24.com/data/aircraft/oo-ssb" TargetMode="External"/><Relationship Id="rId58" Type="http://schemas.openxmlformats.org/officeDocument/2006/relationships/hyperlink" Target="https://www.flightradar24.com/data/airlines/sn-bel" TargetMode="External"/><Relationship Id="rId274" Type="http://schemas.openxmlformats.org/officeDocument/2006/relationships/hyperlink" Target="https://www.flightradar24.com/data/flights/tb2932" TargetMode="External"/><Relationship Id="rId481" Type="http://schemas.openxmlformats.org/officeDocument/2006/relationships/hyperlink" Target="https://www.flightradar24.com/data/airports/mrs" TargetMode="External"/><Relationship Id="rId134" Type="http://schemas.openxmlformats.org/officeDocument/2006/relationships/hyperlink" Target="https://www.flightradar24.com/data/flights/sn2624" TargetMode="External"/><Relationship Id="rId579" Type="http://schemas.openxmlformats.org/officeDocument/2006/relationships/hyperlink" Target="https://www.flightradar24.com/data/flights/sn358" TargetMode="External"/><Relationship Id="rId786" Type="http://schemas.openxmlformats.org/officeDocument/2006/relationships/hyperlink" Target="https://www.flightradar24.com/data/flights/" TargetMode="External"/><Relationship Id="rId993" Type="http://schemas.openxmlformats.org/officeDocument/2006/relationships/hyperlink" Target="https://www.flightradar24.com/data/airports/ath" TargetMode="External"/><Relationship Id="rId341" Type="http://schemas.openxmlformats.org/officeDocument/2006/relationships/hyperlink" Target="https://www.flightradar24.com/data/airports/muc" TargetMode="External"/><Relationship Id="rId439" Type="http://schemas.openxmlformats.org/officeDocument/2006/relationships/hyperlink" Target="https://www.flightradar24.com/data/aircraft/hb-iji" TargetMode="External"/><Relationship Id="rId646" Type="http://schemas.openxmlformats.org/officeDocument/2006/relationships/hyperlink" Target="https://www.flightradar24.com/data/aircraft/d-aizt" TargetMode="External"/><Relationship Id="rId1069" Type="http://schemas.openxmlformats.org/officeDocument/2006/relationships/hyperlink" Target="https://www.flightradar24.com/data/flights/tb2661" TargetMode="External"/><Relationship Id="rId201" Type="http://schemas.openxmlformats.org/officeDocument/2006/relationships/hyperlink" Target="https://www.flightradar24.com/data/flights/wf1890" TargetMode="External"/><Relationship Id="rId506" Type="http://schemas.openxmlformats.org/officeDocument/2006/relationships/hyperlink" Target="https://www.flightradar24.com/data/airports/gva" TargetMode="External"/><Relationship Id="rId853" Type="http://schemas.openxmlformats.org/officeDocument/2006/relationships/hyperlink" Target="https://www.flightradar24.com/data/flights/xq775" TargetMode="External"/><Relationship Id="rId1136" Type="http://schemas.openxmlformats.org/officeDocument/2006/relationships/hyperlink" Target="https://www.flightradar24.com/data/aircraft/ph-hxm" TargetMode="External"/><Relationship Id="rId713" Type="http://schemas.openxmlformats.org/officeDocument/2006/relationships/hyperlink" Target="https://www.flightradar24.com/data/airlines/ac-aca" TargetMode="External"/><Relationship Id="rId920" Type="http://schemas.openxmlformats.org/officeDocument/2006/relationships/hyperlink" Target="https://www.flightradar24.com/data/airports/tng" TargetMode="External"/><Relationship Id="rId1203" Type="http://schemas.openxmlformats.org/officeDocument/2006/relationships/hyperlink" Target="https://www.flightradar24.com/data/airlines/tk-thy" TargetMode="External"/><Relationship Id="rId296" Type="http://schemas.openxmlformats.org/officeDocument/2006/relationships/hyperlink" Target="https://www.flightradar24.com/data/airlines/g9-aby" TargetMode="External"/><Relationship Id="rId156" Type="http://schemas.openxmlformats.org/officeDocument/2006/relationships/hyperlink" Target="https://www.flightradar24.com/data/aircraft/oo-ssl" TargetMode="External"/><Relationship Id="rId363" Type="http://schemas.openxmlformats.org/officeDocument/2006/relationships/hyperlink" Target="https://www.flightradar24.com/data/aircraft/tc-sph" TargetMode="External"/><Relationship Id="rId570" Type="http://schemas.openxmlformats.org/officeDocument/2006/relationships/hyperlink" Target="https://www.flightradar24.com/data/airports/pek" TargetMode="External"/><Relationship Id="rId223" Type="http://schemas.openxmlformats.org/officeDocument/2006/relationships/hyperlink" Target="https://www.flightradar24.com/data/aircraft/ph-hsb" TargetMode="External"/><Relationship Id="rId430" Type="http://schemas.openxmlformats.org/officeDocument/2006/relationships/hyperlink" Target="https://www.flightradar24.com/data/aircraft/yl-abc" TargetMode="External"/><Relationship Id="rId668" Type="http://schemas.openxmlformats.org/officeDocument/2006/relationships/hyperlink" Target="https://www.flightradar24.com/data/airports/muc" TargetMode="External"/><Relationship Id="rId875" Type="http://schemas.openxmlformats.org/officeDocument/2006/relationships/hyperlink" Target="https://www.flightradar24.com/data/aircraft/d-aild" TargetMode="External"/><Relationship Id="rId1060" Type="http://schemas.openxmlformats.org/officeDocument/2006/relationships/hyperlink" Target="https://www.flightradar24.com/data/airlines/xc-cai" TargetMode="External"/><Relationship Id="rId528" Type="http://schemas.openxmlformats.org/officeDocument/2006/relationships/hyperlink" Target="https://www.flightradar24.com/data/aircraft/c-frtw" TargetMode="External"/><Relationship Id="rId735" Type="http://schemas.openxmlformats.org/officeDocument/2006/relationships/hyperlink" Target="https://www.flightradar24.com/data/airports/bcn" TargetMode="External"/><Relationship Id="rId942" Type="http://schemas.openxmlformats.org/officeDocument/2006/relationships/hyperlink" Target="https://www.flightradar24.com/data/aircraft/ei-igw" TargetMode="External"/><Relationship Id="rId1158" Type="http://schemas.openxmlformats.org/officeDocument/2006/relationships/hyperlink" Target="https://www.flightradar24.com/data/airlines/qr-qtr" TargetMode="External"/><Relationship Id="rId1018" Type="http://schemas.openxmlformats.org/officeDocument/2006/relationships/hyperlink" Target="https://www.flightradar24.com/data/airlines/sn-bel" TargetMode="External"/><Relationship Id="rId71" Type="http://schemas.openxmlformats.org/officeDocument/2006/relationships/hyperlink" Target="https://www.flightradar24.com/data/aircraft/oe-fwf" TargetMode="External"/><Relationship Id="rId234" Type="http://schemas.openxmlformats.org/officeDocument/2006/relationships/hyperlink" Target="https://www.flightradar24.com/data/flights/tb1012" TargetMode="External"/><Relationship Id="rId679" Type="http://schemas.openxmlformats.org/officeDocument/2006/relationships/hyperlink" Target="https://www.flightradar24.com/data/flights/ou457" TargetMode="External"/><Relationship Id="rId802" Type="http://schemas.openxmlformats.org/officeDocument/2006/relationships/hyperlink" Target="https://www.flightradar24.com/data/airports/opo" TargetMode="External"/><Relationship Id="rId886" Type="http://schemas.openxmlformats.org/officeDocument/2006/relationships/hyperlink" Target="https://www.flightradar24.com/data/airports/fco" TargetMode="External"/><Relationship Id="rId2" Type="http://schemas.openxmlformats.org/officeDocument/2006/relationships/hyperlink" Target="https://www.flightradar24.com/data/airlines/ek-uae" TargetMode="External"/><Relationship Id="rId29" Type="http://schemas.openxmlformats.org/officeDocument/2006/relationships/hyperlink" Target="https://www.flightradar24.com/data/flights/tb1752" TargetMode="External"/><Relationship Id="rId441" Type="http://schemas.openxmlformats.org/officeDocument/2006/relationships/hyperlink" Target="https://www.flightradar24.com/data/airports/zrh" TargetMode="External"/><Relationship Id="rId539" Type="http://schemas.openxmlformats.org/officeDocument/2006/relationships/hyperlink" Target="https://www.flightradar24.com/data/flights/sn502" TargetMode="External"/><Relationship Id="rId746" Type="http://schemas.openxmlformats.org/officeDocument/2006/relationships/hyperlink" Target="https://www.flightradar24.com/data/aircraft/hb-iji" TargetMode="External"/><Relationship Id="rId1071" Type="http://schemas.openxmlformats.org/officeDocument/2006/relationships/hyperlink" Target="https://www.flightradar24.com/data/airlines/kk-ngn" TargetMode="External"/><Relationship Id="rId1169" Type="http://schemas.openxmlformats.org/officeDocument/2006/relationships/hyperlink" Target="https://www.flightradar24.com/data/aircraft/oo-tcv" TargetMode="External"/><Relationship Id="rId178" Type="http://schemas.openxmlformats.org/officeDocument/2006/relationships/hyperlink" Target="https://www.flightradar24.com/data/airports/fao" TargetMode="External"/><Relationship Id="rId301" Type="http://schemas.openxmlformats.org/officeDocument/2006/relationships/hyperlink" Target="https://www.flightradar24.com/data/airports/tun" TargetMode="External"/><Relationship Id="rId953" Type="http://schemas.openxmlformats.org/officeDocument/2006/relationships/hyperlink" Target="https://www.flightradar24.com/data/aircraft/oo-tms" TargetMode="External"/><Relationship Id="rId1029" Type="http://schemas.openxmlformats.org/officeDocument/2006/relationships/hyperlink" Target="https://www.flightradar24.com/data/airports/arn" TargetMode="External"/><Relationship Id="rId82" Type="http://schemas.openxmlformats.org/officeDocument/2006/relationships/hyperlink" Target="https://www.flightradar24.com/data/airlines/sn-bel" TargetMode="External"/><Relationship Id="rId385" Type="http://schemas.openxmlformats.org/officeDocument/2006/relationships/hyperlink" Target="https://www.flightradar24.com/data/flights/ei630" TargetMode="External"/><Relationship Id="rId592" Type="http://schemas.openxmlformats.org/officeDocument/2006/relationships/hyperlink" Target="https://www.flightradar24.com/data/airlines/d0-dhk" TargetMode="External"/><Relationship Id="rId606" Type="http://schemas.openxmlformats.org/officeDocument/2006/relationships/hyperlink" Target="https://www.flightradar24.com/data/flights/fh8079" TargetMode="External"/><Relationship Id="rId813" Type="http://schemas.openxmlformats.org/officeDocument/2006/relationships/hyperlink" Target="https://www.flightradar24.com/data/flights/dl141" TargetMode="External"/><Relationship Id="rId245" Type="http://schemas.openxmlformats.org/officeDocument/2006/relationships/hyperlink" Target="https://www.flightradar24.com/data/flights/fr5236" TargetMode="External"/><Relationship Id="rId452" Type="http://schemas.openxmlformats.org/officeDocument/2006/relationships/hyperlink" Target="https://www.flightradar24.com/data/airlines/sn-bel" TargetMode="External"/><Relationship Id="rId897" Type="http://schemas.openxmlformats.org/officeDocument/2006/relationships/hyperlink" Target="https://www.flightradar24.com/data/airports/rba" TargetMode="External"/><Relationship Id="rId1082" Type="http://schemas.openxmlformats.org/officeDocument/2006/relationships/hyperlink" Target="https://www.flightradar24.com/data/aircraft/oo-ssj" TargetMode="External"/><Relationship Id="rId105" Type="http://schemas.openxmlformats.org/officeDocument/2006/relationships/hyperlink" Target="https://www.flightradar24.com/data/aircraft/es-sax" TargetMode="External"/><Relationship Id="rId312" Type="http://schemas.openxmlformats.org/officeDocument/2006/relationships/hyperlink" Target="https://www.flightradar24.com/data/airports/vie" TargetMode="External"/><Relationship Id="rId757" Type="http://schemas.openxmlformats.org/officeDocument/2006/relationships/hyperlink" Target="https://www.flightradar24.com/data/airlines/sn-bel" TargetMode="External"/><Relationship Id="rId964" Type="http://schemas.openxmlformats.org/officeDocument/2006/relationships/hyperlink" Target="https://www.flightradar24.com/data/flights/hu492" TargetMode="External"/><Relationship Id="rId93" Type="http://schemas.openxmlformats.org/officeDocument/2006/relationships/hyperlink" Target="https://www.flightradar24.com/data/aircraft/ei-hhp" TargetMode="External"/><Relationship Id="rId189" Type="http://schemas.openxmlformats.org/officeDocument/2006/relationships/hyperlink" Target="https://www.flightradar24.com/data/airports/cph" TargetMode="External"/><Relationship Id="rId396" Type="http://schemas.openxmlformats.org/officeDocument/2006/relationships/hyperlink" Target="https://www.flightradar24.com/data/airports/cdg" TargetMode="External"/><Relationship Id="rId617" Type="http://schemas.openxmlformats.org/officeDocument/2006/relationships/hyperlink" Target="https://www.flightradar24.com/data/airlines/fh-fhy" TargetMode="External"/><Relationship Id="rId824" Type="http://schemas.openxmlformats.org/officeDocument/2006/relationships/hyperlink" Target="https://www.flightradar24.com/data/aircraft/ec-nzr" TargetMode="External"/><Relationship Id="rId256" Type="http://schemas.openxmlformats.org/officeDocument/2006/relationships/hyperlink" Target="https://www.flightradar24.com/data/flights/fr2918" TargetMode="External"/><Relationship Id="rId463" Type="http://schemas.openxmlformats.org/officeDocument/2006/relationships/hyperlink" Target="https://www.flightradar24.com/data/aircraft/oo-snn" TargetMode="External"/><Relationship Id="rId670" Type="http://schemas.openxmlformats.org/officeDocument/2006/relationships/hyperlink" Target="https://www.flightradar24.com/data/aircraft/d-aibl" TargetMode="External"/><Relationship Id="rId1093" Type="http://schemas.openxmlformats.org/officeDocument/2006/relationships/hyperlink" Target="https://www.flightradar24.com/data/aircraft/es-saw" TargetMode="External"/><Relationship Id="rId1107" Type="http://schemas.openxmlformats.org/officeDocument/2006/relationships/hyperlink" Target="https://www.flightradar24.com/data/aircraft/es-sax" TargetMode="External"/><Relationship Id="rId116" Type="http://schemas.openxmlformats.org/officeDocument/2006/relationships/hyperlink" Target="https://www.flightradar24.com/data/aircraft/oo-snf" TargetMode="External"/><Relationship Id="rId323" Type="http://schemas.openxmlformats.org/officeDocument/2006/relationships/hyperlink" Target="https://www.flightradar24.com/data/aircraft/ph-tfl" TargetMode="External"/><Relationship Id="rId530" Type="http://schemas.openxmlformats.org/officeDocument/2006/relationships/hyperlink" Target="https://www.flightradar24.com/data/airports/yyz" TargetMode="External"/><Relationship Id="rId768" Type="http://schemas.openxmlformats.org/officeDocument/2006/relationships/hyperlink" Target="https://www.flightradar24.com/data/airlines/ac-aca" TargetMode="External"/><Relationship Id="rId975" Type="http://schemas.openxmlformats.org/officeDocument/2006/relationships/hyperlink" Target="https://www.flightradar24.com/data/flights/tb1753" TargetMode="External"/><Relationship Id="rId1160" Type="http://schemas.openxmlformats.org/officeDocument/2006/relationships/hyperlink" Target="https://www.flightradar24.com/data/flights/u21748" TargetMode="External"/><Relationship Id="rId20" Type="http://schemas.openxmlformats.org/officeDocument/2006/relationships/hyperlink" Target="https://www.flightradar24.com/data/airlines/bj-lbt" TargetMode="External"/><Relationship Id="rId628" Type="http://schemas.openxmlformats.org/officeDocument/2006/relationships/hyperlink" Target="https://www.flightradar24.com/data/airports/zrh" TargetMode="External"/><Relationship Id="rId835" Type="http://schemas.openxmlformats.org/officeDocument/2006/relationships/hyperlink" Target="https://www.flightradar24.com/data/airlines/ey-etd" TargetMode="External"/><Relationship Id="rId267" Type="http://schemas.openxmlformats.org/officeDocument/2006/relationships/hyperlink" Target="https://www.flightradar24.com/data/flights/tb1112" TargetMode="External"/><Relationship Id="rId474" Type="http://schemas.openxmlformats.org/officeDocument/2006/relationships/hyperlink" Target="https://www.flightradar24.com/data/airports/man" TargetMode="External"/><Relationship Id="rId1020" Type="http://schemas.openxmlformats.org/officeDocument/2006/relationships/hyperlink" Target="https://www.flightradar24.com/data/airports/arn" TargetMode="External"/><Relationship Id="rId1118" Type="http://schemas.openxmlformats.org/officeDocument/2006/relationships/hyperlink" Target="https://www.flightradar24.com/data/aircraft/tc-fbo" TargetMode="External"/><Relationship Id="rId127" Type="http://schemas.openxmlformats.org/officeDocument/2006/relationships/hyperlink" Target="https://www.flightradar24.com/data/aircraft/oo-tuv" TargetMode="External"/><Relationship Id="rId681" Type="http://schemas.openxmlformats.org/officeDocument/2006/relationships/hyperlink" Target="https://www.flightradar24.com/data/airlines/ou-ctn" TargetMode="External"/><Relationship Id="rId779" Type="http://schemas.openxmlformats.org/officeDocument/2006/relationships/hyperlink" Target="https://www.flightradar24.com/data/airports/waw" TargetMode="External"/><Relationship Id="rId902" Type="http://schemas.openxmlformats.org/officeDocument/2006/relationships/hyperlink" Target="https://www.flightradar24.com/data/aircraft/n2747u" TargetMode="External"/><Relationship Id="rId986" Type="http://schemas.openxmlformats.org/officeDocument/2006/relationships/hyperlink" Target="https://www.flightradar24.com/data/airports/nce" TargetMode="External"/><Relationship Id="rId31" Type="http://schemas.openxmlformats.org/officeDocument/2006/relationships/hyperlink" Target="https://www.flightradar24.com/data/airlines/sn-bel" TargetMode="External"/><Relationship Id="rId334" Type="http://schemas.openxmlformats.org/officeDocument/2006/relationships/hyperlink" Target="https://www.flightradar24.com/data/airlines/ua-ual" TargetMode="External"/><Relationship Id="rId541" Type="http://schemas.openxmlformats.org/officeDocument/2006/relationships/hyperlink" Target="https://www.flightradar24.com/data/airlines/ey-etd" TargetMode="External"/><Relationship Id="rId639" Type="http://schemas.openxmlformats.org/officeDocument/2006/relationships/hyperlink" Target="https://www.flightradar24.com/data/flights/xq757" TargetMode="External"/><Relationship Id="rId1171" Type="http://schemas.openxmlformats.org/officeDocument/2006/relationships/hyperlink" Target="https://www.flightradar24.com/data/airports/ham" TargetMode="External"/><Relationship Id="rId180" Type="http://schemas.openxmlformats.org/officeDocument/2006/relationships/hyperlink" Target="https://www.flightradar24.com/data/aircraft/oo-ssx" TargetMode="External"/><Relationship Id="rId278" Type="http://schemas.openxmlformats.org/officeDocument/2006/relationships/hyperlink" Target="https://www.flightradar24.com/data/flights/3o117" TargetMode="External"/><Relationship Id="rId401" Type="http://schemas.openxmlformats.org/officeDocument/2006/relationships/hyperlink" Target="https://www.flightradar24.com/data/aircraft/sp-lna" TargetMode="External"/><Relationship Id="rId846" Type="http://schemas.openxmlformats.org/officeDocument/2006/relationships/hyperlink" Target="https://www.flightradar24.com/data/airports/bio" TargetMode="External"/><Relationship Id="rId1031" Type="http://schemas.openxmlformats.org/officeDocument/2006/relationships/hyperlink" Target="https://www.flightradar24.com/data/aircraft/oo-ssx" TargetMode="External"/><Relationship Id="rId1129" Type="http://schemas.openxmlformats.org/officeDocument/2006/relationships/hyperlink" Target="https://www.flightradar24.com/data/aircraft/oo-jaf" TargetMode="External"/><Relationship Id="rId485" Type="http://schemas.openxmlformats.org/officeDocument/2006/relationships/hyperlink" Target="https://www.flightradar24.com/data/aircraft/oo-tch" TargetMode="External"/><Relationship Id="rId692" Type="http://schemas.openxmlformats.org/officeDocument/2006/relationships/hyperlink" Target="https://www.flightradar24.com/data/airports/ber" TargetMode="External"/><Relationship Id="rId706" Type="http://schemas.openxmlformats.org/officeDocument/2006/relationships/hyperlink" Target="https://www.flightradar24.com/data/aircraft/oo-ssu" TargetMode="External"/><Relationship Id="rId913" Type="http://schemas.openxmlformats.org/officeDocument/2006/relationships/hyperlink" Target="https://www.flightradar24.com/data/airlines/sn-bel" TargetMode="External"/><Relationship Id="rId42" Type="http://schemas.openxmlformats.org/officeDocument/2006/relationships/hyperlink" Target="https://www.flightradar24.com/data/airlines/sn-bel" TargetMode="External"/><Relationship Id="rId138" Type="http://schemas.openxmlformats.org/officeDocument/2006/relationships/hyperlink" Target="https://www.flightradar24.com/data/aircraft/oo-sso" TargetMode="External"/><Relationship Id="rId345" Type="http://schemas.openxmlformats.org/officeDocument/2006/relationships/hyperlink" Target="https://www.flightradar24.com/data/aircraft/oo-sne" TargetMode="External"/><Relationship Id="rId552" Type="http://schemas.openxmlformats.org/officeDocument/2006/relationships/hyperlink" Target="https://www.flightradar24.com/data/aircraft/tc-spa" TargetMode="External"/><Relationship Id="rId997" Type="http://schemas.openxmlformats.org/officeDocument/2006/relationships/hyperlink" Target="https://www.flightradar24.com/data/airlines/sn-bel" TargetMode="External"/><Relationship Id="rId1182" Type="http://schemas.openxmlformats.org/officeDocument/2006/relationships/hyperlink" Target="https://www.flightradar24.com/data/airlines/xq-sxs" TargetMode="External"/><Relationship Id="rId191" Type="http://schemas.openxmlformats.org/officeDocument/2006/relationships/hyperlink" Target="https://www.flightradar24.com/data/airlines/sn-bel" TargetMode="External"/><Relationship Id="rId205" Type="http://schemas.openxmlformats.org/officeDocument/2006/relationships/hyperlink" Target="https://www.flightradar24.com/data/flights/sn3140" TargetMode="External"/><Relationship Id="rId412" Type="http://schemas.openxmlformats.org/officeDocument/2006/relationships/hyperlink" Target="https://www.flightradar24.com/data/airlines/vy-vlg" TargetMode="External"/><Relationship Id="rId857" Type="http://schemas.openxmlformats.org/officeDocument/2006/relationships/hyperlink" Target="https://www.flightradar24.com/data/flights/a3621" TargetMode="External"/><Relationship Id="rId1042" Type="http://schemas.openxmlformats.org/officeDocument/2006/relationships/hyperlink" Target="https://www.flightradar24.com/data/airlines/vy-vlg" TargetMode="External"/><Relationship Id="rId289" Type="http://schemas.openxmlformats.org/officeDocument/2006/relationships/hyperlink" Target="https://www.flightradar24.com/data/airports/ttu" TargetMode="External"/><Relationship Id="rId496" Type="http://schemas.openxmlformats.org/officeDocument/2006/relationships/hyperlink" Target="https://www.flightradar24.com/data/airlines/sn-bel" TargetMode="External"/><Relationship Id="rId717" Type="http://schemas.openxmlformats.org/officeDocument/2006/relationships/hyperlink" Target="https://www.flightradar24.com/data/airlines/sn-bel" TargetMode="External"/><Relationship Id="rId924" Type="http://schemas.openxmlformats.org/officeDocument/2006/relationships/hyperlink" Target="https://www.flightradar24.com/data/airports/saw" TargetMode="External"/><Relationship Id="rId53" Type="http://schemas.openxmlformats.org/officeDocument/2006/relationships/hyperlink" Target="https://www.flightradar24.com/data/flights/sn3712" TargetMode="External"/><Relationship Id="rId149" Type="http://schemas.openxmlformats.org/officeDocument/2006/relationships/hyperlink" Target="https://www.flightradar24.com/data/aircraft/oo-snh" TargetMode="External"/><Relationship Id="rId356" Type="http://schemas.openxmlformats.org/officeDocument/2006/relationships/hyperlink" Target="https://www.flightradar24.com/data/airports/fra" TargetMode="External"/><Relationship Id="rId563" Type="http://schemas.openxmlformats.org/officeDocument/2006/relationships/hyperlink" Target="https://www.flightradar24.com/data/flights/et3714" TargetMode="External"/><Relationship Id="rId770" Type="http://schemas.openxmlformats.org/officeDocument/2006/relationships/hyperlink" Target="https://www.flightradar24.com/data/flights/vy1335" TargetMode="External"/><Relationship Id="rId1193" Type="http://schemas.openxmlformats.org/officeDocument/2006/relationships/hyperlink" Target="https://www.flightradar24.com/data/airlines/sn-bel" TargetMode="External"/><Relationship Id="rId1207" Type="http://schemas.openxmlformats.org/officeDocument/2006/relationships/hyperlink" Target="https://www.flightradar24.com/data/airlines/-uni" TargetMode="External"/><Relationship Id="rId216" Type="http://schemas.openxmlformats.org/officeDocument/2006/relationships/hyperlink" Target="https://www.flightradar24.com/data/aircraft/oo-sss" TargetMode="External"/><Relationship Id="rId423" Type="http://schemas.openxmlformats.org/officeDocument/2006/relationships/hyperlink" Target="https://www.flightradar24.com/data/aircraft/d-caro" TargetMode="External"/><Relationship Id="rId868" Type="http://schemas.openxmlformats.org/officeDocument/2006/relationships/hyperlink" Target="https://www.flightradar24.com/data/aircraft/ei-dhz" TargetMode="External"/><Relationship Id="rId1053" Type="http://schemas.openxmlformats.org/officeDocument/2006/relationships/hyperlink" Target="https://www.flightradar24.com/data/airlines/x3-tui" TargetMode="External"/><Relationship Id="rId630" Type="http://schemas.openxmlformats.org/officeDocument/2006/relationships/hyperlink" Target="https://www.flightradar24.com/data/aircraft/oo-sne" TargetMode="External"/><Relationship Id="rId728" Type="http://schemas.openxmlformats.org/officeDocument/2006/relationships/hyperlink" Target="https://www.flightradar24.com/data/aircraft/yl-abc" TargetMode="External"/><Relationship Id="rId935" Type="http://schemas.openxmlformats.org/officeDocument/2006/relationships/hyperlink" Target="https://www.flightradar24.com/data/flights/3o118" TargetMode="External"/><Relationship Id="rId64" Type="http://schemas.openxmlformats.org/officeDocument/2006/relationships/hyperlink" Target="https://www.flightradar24.com/data/aircraft/cs-ttp" TargetMode="External"/><Relationship Id="rId367" Type="http://schemas.openxmlformats.org/officeDocument/2006/relationships/hyperlink" Target="https://www.flightradar24.com/data/airlines/sn-bel" TargetMode="External"/><Relationship Id="rId574" Type="http://schemas.openxmlformats.org/officeDocument/2006/relationships/hyperlink" Target="https://www.flightradar24.com/data/airports/ebb" TargetMode="External"/><Relationship Id="rId1120" Type="http://schemas.openxmlformats.org/officeDocument/2006/relationships/hyperlink" Target="https://www.flightradar24.com/data/airports/ibz" TargetMode="External"/><Relationship Id="rId1218" Type="http://schemas.openxmlformats.org/officeDocument/2006/relationships/hyperlink" Target="https://www.flightradar24.com/data/aircraft/oo-snn" TargetMode="External"/><Relationship Id="rId227" Type="http://schemas.openxmlformats.org/officeDocument/2006/relationships/hyperlink" Target="https://www.flightradar24.com/data/aircraft/sx-chg" TargetMode="External"/><Relationship Id="rId781" Type="http://schemas.openxmlformats.org/officeDocument/2006/relationships/hyperlink" Target="https://www.flightradar24.com/data/aircraft/sp-lna" TargetMode="External"/><Relationship Id="rId879" Type="http://schemas.openxmlformats.org/officeDocument/2006/relationships/hyperlink" Target="https://www.flightradar24.com/data/airports/fih" TargetMode="External"/><Relationship Id="rId434" Type="http://schemas.openxmlformats.org/officeDocument/2006/relationships/hyperlink" Target="https://www.flightradar24.com/data/airlines/sn-bel" TargetMode="External"/><Relationship Id="rId641" Type="http://schemas.openxmlformats.org/officeDocument/2006/relationships/hyperlink" Target="https://www.flightradar24.com/data/airlines/xq-sxs" TargetMode="External"/><Relationship Id="rId739" Type="http://schemas.openxmlformats.org/officeDocument/2006/relationships/hyperlink" Target="https://www.flightradar24.com/data/airlines/ju-asl" TargetMode="External"/><Relationship Id="rId1064" Type="http://schemas.openxmlformats.org/officeDocument/2006/relationships/hyperlink" Target="https://www.flightradar24.com/data/aircraft/oo-ssl" TargetMode="External"/><Relationship Id="rId280" Type="http://schemas.openxmlformats.org/officeDocument/2006/relationships/hyperlink" Target="https://www.flightradar24.com/data/airlines/x3-tui" TargetMode="External"/><Relationship Id="rId501" Type="http://schemas.openxmlformats.org/officeDocument/2006/relationships/hyperlink" Target="https://www.flightradar24.com/data/aircraft/d-aibl" TargetMode="External"/><Relationship Id="rId946" Type="http://schemas.openxmlformats.org/officeDocument/2006/relationships/hyperlink" Target="https://www.flightradar24.com/data/flights/fr5235" TargetMode="External"/><Relationship Id="rId1131" Type="http://schemas.openxmlformats.org/officeDocument/2006/relationships/hyperlink" Target="https://www.flightradar24.com/data/airlines/tp-tap" TargetMode="External"/><Relationship Id="rId75" Type="http://schemas.openxmlformats.org/officeDocument/2006/relationships/hyperlink" Target="https://www.flightradar24.com/data/aircraft/oo-ssq" TargetMode="External"/><Relationship Id="rId140" Type="http://schemas.openxmlformats.org/officeDocument/2006/relationships/hyperlink" Target="https://www.flightradar24.com/data/airports/krk" TargetMode="External"/><Relationship Id="rId378" Type="http://schemas.openxmlformats.org/officeDocument/2006/relationships/hyperlink" Target="https://www.flightradar24.com/data/aircraft/oo-ssq" TargetMode="External"/><Relationship Id="rId585" Type="http://schemas.openxmlformats.org/officeDocument/2006/relationships/hyperlink" Target="https://www.flightradar24.com/data/airports/yul" TargetMode="External"/><Relationship Id="rId792" Type="http://schemas.openxmlformats.org/officeDocument/2006/relationships/hyperlink" Target="https://www.flightradar24.com/data/aircraft/ei-des" TargetMode="External"/><Relationship Id="rId806" Type="http://schemas.openxmlformats.org/officeDocument/2006/relationships/hyperlink" Target="https://www.flightradar24.com/data/airports/cph" TargetMode="External"/><Relationship Id="rId6" Type="http://schemas.openxmlformats.org/officeDocument/2006/relationships/hyperlink" Target="https://www.flightradar24.com/data/airports/ist" TargetMode="External"/><Relationship Id="rId238" Type="http://schemas.openxmlformats.org/officeDocument/2006/relationships/hyperlink" Target="https://www.flightradar24.com/data/flights/sn3734" TargetMode="External"/><Relationship Id="rId445" Type="http://schemas.openxmlformats.org/officeDocument/2006/relationships/hyperlink" Target="https://www.flightradar24.com/data/aircraft/oo-snb" TargetMode="External"/><Relationship Id="rId652" Type="http://schemas.openxmlformats.org/officeDocument/2006/relationships/hyperlink" Target="https://www.flightradar24.com/data/airports/doh" TargetMode="External"/><Relationship Id="rId1075" Type="http://schemas.openxmlformats.org/officeDocument/2006/relationships/hyperlink" Target="https://www.flightradar24.com/data/aircraft/a6-eqj" TargetMode="External"/><Relationship Id="rId291" Type="http://schemas.openxmlformats.org/officeDocument/2006/relationships/hyperlink" Target="https://www.flightradar24.com/data/aircraft/oo-snj" TargetMode="External"/><Relationship Id="rId305" Type="http://schemas.openxmlformats.org/officeDocument/2006/relationships/hyperlink" Target="https://www.flightradar24.com/data/airports/mad" TargetMode="External"/><Relationship Id="rId512" Type="http://schemas.openxmlformats.org/officeDocument/2006/relationships/hyperlink" Target="https://www.flightradar24.com/data/aircraft/d-aizt" TargetMode="External"/><Relationship Id="rId957" Type="http://schemas.openxmlformats.org/officeDocument/2006/relationships/hyperlink" Target="https://www.flightradar24.com/data/airports/fra" TargetMode="External"/><Relationship Id="rId1142" Type="http://schemas.openxmlformats.org/officeDocument/2006/relationships/hyperlink" Target="https://www.flightradar24.com/data/airlines/sn-bel" TargetMode="External"/><Relationship Id="rId86" Type="http://schemas.openxmlformats.org/officeDocument/2006/relationships/hyperlink" Target="https://www.flightradar24.com/data/airlines/vy-vlg" TargetMode="External"/><Relationship Id="rId151" Type="http://schemas.openxmlformats.org/officeDocument/2006/relationships/hyperlink" Target="https://www.flightradar24.com/data/airports/her" TargetMode="External"/><Relationship Id="rId389" Type="http://schemas.openxmlformats.org/officeDocument/2006/relationships/hyperlink" Target="https://www.flightradar24.com/data/flights/kl1703" TargetMode="External"/><Relationship Id="rId596" Type="http://schemas.openxmlformats.org/officeDocument/2006/relationships/hyperlink" Target="https://www.flightradar24.com/data/airlines/d0-dhk" TargetMode="External"/><Relationship Id="rId817" Type="http://schemas.openxmlformats.org/officeDocument/2006/relationships/hyperlink" Target="https://www.flightradar24.com/data/flights/vy2151" TargetMode="External"/><Relationship Id="rId1002" Type="http://schemas.openxmlformats.org/officeDocument/2006/relationships/hyperlink" Target="https://www.flightradar24.com/data/aircraft/ln-wec" TargetMode="External"/><Relationship Id="rId249" Type="http://schemas.openxmlformats.org/officeDocument/2006/relationships/hyperlink" Target="https://www.flightradar24.com/data/flights/sn3176" TargetMode="External"/><Relationship Id="rId456" Type="http://schemas.openxmlformats.org/officeDocument/2006/relationships/hyperlink" Target="https://www.flightradar24.com/data/airports/bud" TargetMode="External"/><Relationship Id="rId663" Type="http://schemas.openxmlformats.org/officeDocument/2006/relationships/hyperlink" Target="https://www.flightradar24.com/data/flights/fr2947" TargetMode="External"/><Relationship Id="rId870" Type="http://schemas.openxmlformats.org/officeDocument/2006/relationships/hyperlink" Target="https://www.flightradar24.com/data/airports/ewr" TargetMode="External"/><Relationship Id="rId1086" Type="http://schemas.openxmlformats.org/officeDocument/2006/relationships/hyperlink" Target="https://www.flightradar24.com/data/flights/tb1551" TargetMode="External"/><Relationship Id="rId13" Type="http://schemas.openxmlformats.org/officeDocument/2006/relationships/hyperlink" Target="https://www.flightradar24.com/data/airports/cmn" TargetMode="External"/><Relationship Id="rId109" Type="http://schemas.openxmlformats.org/officeDocument/2006/relationships/hyperlink" Target="https://www.flightradar24.com/data/aircraft/ph-exp" TargetMode="External"/><Relationship Id="rId316" Type="http://schemas.openxmlformats.org/officeDocument/2006/relationships/hyperlink" Target="https://www.flightradar24.com/data/aircraft/oo-sni" TargetMode="External"/><Relationship Id="rId523" Type="http://schemas.openxmlformats.org/officeDocument/2006/relationships/hyperlink" Target="https://www.flightradar24.com/data/flights/sn516" TargetMode="External"/><Relationship Id="rId968" Type="http://schemas.openxmlformats.org/officeDocument/2006/relationships/hyperlink" Target="https://www.flightradar24.com/data/airports/otp" TargetMode="External"/><Relationship Id="rId1153" Type="http://schemas.openxmlformats.org/officeDocument/2006/relationships/hyperlink" Target="https://www.flightradar24.com/data/flights/sn3149" TargetMode="External"/><Relationship Id="rId97" Type="http://schemas.openxmlformats.org/officeDocument/2006/relationships/hyperlink" Target="https://www.flightradar24.com/data/aircraft/tc-fbo" TargetMode="External"/><Relationship Id="rId730" Type="http://schemas.openxmlformats.org/officeDocument/2006/relationships/hyperlink" Target="https://www.flightradar24.com/data/airlines/bt-bti" TargetMode="External"/><Relationship Id="rId828" Type="http://schemas.openxmlformats.org/officeDocument/2006/relationships/hyperlink" Target="https://www.flightradar24.com/data/aircraft/oo-ssq" TargetMode="External"/><Relationship Id="rId1013" Type="http://schemas.openxmlformats.org/officeDocument/2006/relationships/hyperlink" Target="https://www.flightradar24.com/data/aircraft/oo-jar" TargetMode="External"/><Relationship Id="rId162" Type="http://schemas.openxmlformats.org/officeDocument/2006/relationships/hyperlink" Target="https://www.flightradar24.com/data/airports/alg" TargetMode="External"/><Relationship Id="rId467" Type="http://schemas.openxmlformats.org/officeDocument/2006/relationships/hyperlink" Target="https://www.flightradar24.com/data/airlines/sn-bel" TargetMode="External"/><Relationship Id="rId1097" Type="http://schemas.openxmlformats.org/officeDocument/2006/relationships/hyperlink" Target="https://www.flightradar24.com/data/aircraft/ec-mxg" TargetMode="External"/><Relationship Id="rId1220" Type="http://schemas.openxmlformats.org/officeDocument/2006/relationships/hyperlink" Target="https://www.flightradar24.com/data/airlines/sn-bel" TargetMode="External"/><Relationship Id="rId674" Type="http://schemas.openxmlformats.org/officeDocument/2006/relationships/hyperlink" Target="https://www.flightradar24.com/data/aircraft/n775ck" TargetMode="External"/><Relationship Id="rId881" Type="http://schemas.openxmlformats.org/officeDocument/2006/relationships/hyperlink" Target="https://www.flightradar24.com/data/aircraft/oo-sfg" TargetMode="External"/><Relationship Id="rId979" Type="http://schemas.openxmlformats.org/officeDocument/2006/relationships/hyperlink" Target="https://www.flightradar24.com/data/airports/kef" TargetMode="External"/><Relationship Id="rId24" Type="http://schemas.openxmlformats.org/officeDocument/2006/relationships/hyperlink" Target="https://www.flightradar24.com/data/airlines/xq-sxs" TargetMode="External"/><Relationship Id="rId327" Type="http://schemas.openxmlformats.org/officeDocument/2006/relationships/hyperlink" Target="https://www.flightradar24.com/data/aircraft/d-aild" TargetMode="External"/><Relationship Id="rId534" Type="http://schemas.openxmlformats.org/officeDocument/2006/relationships/hyperlink" Target="https://www.flightradar24.com/data/airports/gva" TargetMode="External"/><Relationship Id="rId741" Type="http://schemas.openxmlformats.org/officeDocument/2006/relationships/hyperlink" Target="https://www.flightradar24.com/data/airports/nce" TargetMode="External"/><Relationship Id="rId839" Type="http://schemas.openxmlformats.org/officeDocument/2006/relationships/hyperlink" Target="https://www.flightradar24.com/data/airlines/sk-sas" TargetMode="External"/><Relationship Id="rId1164" Type="http://schemas.openxmlformats.org/officeDocument/2006/relationships/hyperlink" Target="https://www.flightradar24.com/data/airports/lhr" TargetMode="External"/><Relationship Id="rId173" Type="http://schemas.openxmlformats.org/officeDocument/2006/relationships/hyperlink" Target="https://www.flightradar24.com/data/airlines/sk-sas" TargetMode="External"/><Relationship Id="rId380" Type="http://schemas.openxmlformats.org/officeDocument/2006/relationships/hyperlink" Target="https://www.flightradar24.com/data/airports/lhr" TargetMode="External"/><Relationship Id="rId601" Type="http://schemas.openxmlformats.org/officeDocument/2006/relationships/hyperlink" Target="https://www.flightradar24.com/data/airports/evn" TargetMode="External"/><Relationship Id="rId1024" Type="http://schemas.openxmlformats.org/officeDocument/2006/relationships/hyperlink" Target="https://www.flightradar24.com/data/airlines/sn-bel" TargetMode="External"/><Relationship Id="rId240" Type="http://schemas.openxmlformats.org/officeDocument/2006/relationships/hyperlink" Target="https://www.flightradar24.com/data/airlines/fi-ice" TargetMode="External"/><Relationship Id="rId478" Type="http://schemas.openxmlformats.org/officeDocument/2006/relationships/hyperlink" Target="https://www.flightradar24.com/data/flights/az148" TargetMode="External"/><Relationship Id="rId685" Type="http://schemas.openxmlformats.org/officeDocument/2006/relationships/hyperlink" Target="https://www.flightradar24.com/data/airlines/az-ity" TargetMode="External"/><Relationship Id="rId892" Type="http://schemas.openxmlformats.org/officeDocument/2006/relationships/hyperlink" Target="https://www.flightradar24.com/data/flights/sn3243" TargetMode="External"/><Relationship Id="rId906" Type="http://schemas.openxmlformats.org/officeDocument/2006/relationships/hyperlink" Target="https://www.flightradar24.com/data/airports/fna" TargetMode="External"/><Relationship Id="rId35" Type="http://schemas.openxmlformats.org/officeDocument/2006/relationships/hyperlink" Target="https://www.flightradar24.com/data/airports/nce" TargetMode="External"/><Relationship Id="rId100" Type="http://schemas.openxmlformats.org/officeDocument/2006/relationships/hyperlink" Target="https://www.flightradar24.com/data/flights/fh8014" TargetMode="External"/><Relationship Id="rId338" Type="http://schemas.openxmlformats.org/officeDocument/2006/relationships/hyperlink" Target="https://www.flightradar24.com/data/airports/ist" TargetMode="External"/><Relationship Id="rId545" Type="http://schemas.openxmlformats.org/officeDocument/2006/relationships/hyperlink" Target="https://www.flightradar24.com/data/airlines/fr-ryr" TargetMode="External"/><Relationship Id="rId752" Type="http://schemas.openxmlformats.org/officeDocument/2006/relationships/hyperlink" Target="https://www.flightradar24.com/data/aircraft/oo-sbc" TargetMode="External"/><Relationship Id="rId1175" Type="http://schemas.openxmlformats.org/officeDocument/2006/relationships/hyperlink" Target="https://www.flightradar24.com/data/airports/goa" TargetMode="External"/><Relationship Id="rId184" Type="http://schemas.openxmlformats.org/officeDocument/2006/relationships/hyperlink" Target="https://www.flightradar24.com/data/aircraft/tc-jtk" TargetMode="External"/><Relationship Id="rId391" Type="http://schemas.openxmlformats.org/officeDocument/2006/relationships/hyperlink" Target="https://www.flightradar24.com/data/airlines/vy-vlg" TargetMode="External"/><Relationship Id="rId405" Type="http://schemas.openxmlformats.org/officeDocument/2006/relationships/hyperlink" Target="https://www.flightradar24.com/data/aircraft/ec-loc" TargetMode="External"/><Relationship Id="rId612" Type="http://schemas.openxmlformats.org/officeDocument/2006/relationships/hyperlink" Target="https://www.flightradar24.com/data/airports/pmi" TargetMode="External"/><Relationship Id="rId1035" Type="http://schemas.openxmlformats.org/officeDocument/2006/relationships/hyperlink" Target="https://www.flightradar24.com/data/airports/vie" TargetMode="External"/><Relationship Id="rId251" Type="http://schemas.openxmlformats.org/officeDocument/2006/relationships/hyperlink" Target="https://www.flightradar24.com/data/airlines/lh-dlh" TargetMode="External"/><Relationship Id="rId489" Type="http://schemas.openxmlformats.org/officeDocument/2006/relationships/hyperlink" Target="https://www.flightradar24.com/data/airlines/fr-ryr" TargetMode="External"/><Relationship Id="rId696" Type="http://schemas.openxmlformats.org/officeDocument/2006/relationships/hyperlink" Target="https://www.flightradar24.com/data/airports/cph" TargetMode="External"/><Relationship Id="rId917" Type="http://schemas.openxmlformats.org/officeDocument/2006/relationships/hyperlink" Target="https://www.flightradar24.com/data/airlines/tu-tar" TargetMode="External"/><Relationship Id="rId1102" Type="http://schemas.openxmlformats.org/officeDocument/2006/relationships/hyperlink" Target="https://www.flightradar24.com/data/airlines/sn-bel" TargetMode="External"/><Relationship Id="rId46" Type="http://schemas.openxmlformats.org/officeDocument/2006/relationships/hyperlink" Target="https://www.flightradar24.com/data/airports/muc" TargetMode="External"/><Relationship Id="rId349" Type="http://schemas.openxmlformats.org/officeDocument/2006/relationships/hyperlink" Target="https://www.flightradar24.com/data/airlines/sk-sas" TargetMode="External"/><Relationship Id="rId556" Type="http://schemas.openxmlformats.org/officeDocument/2006/relationships/hyperlink" Target="https://www.flightradar24.com/data/aircraft/n775ck" TargetMode="External"/><Relationship Id="rId763" Type="http://schemas.openxmlformats.org/officeDocument/2006/relationships/hyperlink" Target="https://www.flightradar24.com/data/airports/vlc" TargetMode="External"/><Relationship Id="rId1186" Type="http://schemas.openxmlformats.org/officeDocument/2006/relationships/hyperlink" Target="https://www.flightradar24.com/data/airlines/6y-art" TargetMode="External"/><Relationship Id="rId111" Type="http://schemas.openxmlformats.org/officeDocument/2006/relationships/hyperlink" Target="https://www.flightradar24.com/data/airports/ams" TargetMode="External"/><Relationship Id="rId195" Type="http://schemas.openxmlformats.org/officeDocument/2006/relationships/hyperlink" Target="https://www.flightradar24.com/data/airlines/-vjt" TargetMode="External"/><Relationship Id="rId209" Type="http://schemas.openxmlformats.org/officeDocument/2006/relationships/hyperlink" Target="https://www.flightradar24.com/data/flights/sn2810" TargetMode="External"/><Relationship Id="rId416" Type="http://schemas.openxmlformats.org/officeDocument/2006/relationships/hyperlink" Target="https://www.flightradar24.com/data/airports/vie" TargetMode="External"/><Relationship Id="rId970" Type="http://schemas.openxmlformats.org/officeDocument/2006/relationships/hyperlink" Target="https://www.flightradar24.com/data/aircraft/yr-sun" TargetMode="External"/><Relationship Id="rId1046" Type="http://schemas.openxmlformats.org/officeDocument/2006/relationships/hyperlink" Target="https://www.flightradar24.com/data/airlines/ah-dah" TargetMode="External"/><Relationship Id="rId623" Type="http://schemas.openxmlformats.org/officeDocument/2006/relationships/hyperlink" Target="https://www.flightradar24.com/data/flights/qy81" TargetMode="External"/><Relationship Id="rId830" Type="http://schemas.openxmlformats.org/officeDocument/2006/relationships/hyperlink" Target="https://www.flightradar24.com/data/airports/ath" TargetMode="External"/><Relationship Id="rId928" Type="http://schemas.openxmlformats.org/officeDocument/2006/relationships/hyperlink" Target="https://www.flightradar24.com/data/airports/ttu" TargetMode="External"/><Relationship Id="rId57" Type="http://schemas.openxmlformats.org/officeDocument/2006/relationships/hyperlink" Target="https://www.flightradar24.com/data/aircraft/oo-ssn" TargetMode="External"/><Relationship Id="rId262" Type="http://schemas.openxmlformats.org/officeDocument/2006/relationships/hyperlink" Target="https://www.flightradar24.com/data/airlines/h7-hym" TargetMode="External"/><Relationship Id="rId567" Type="http://schemas.openxmlformats.org/officeDocument/2006/relationships/hyperlink" Target="https://www.flightradar24.com/data/flights/qr8114" TargetMode="External"/><Relationship Id="rId1113" Type="http://schemas.openxmlformats.org/officeDocument/2006/relationships/hyperlink" Target="https://www.flightradar24.com/data/airlines/sn-bel" TargetMode="External"/><Relationship Id="rId1197" Type="http://schemas.openxmlformats.org/officeDocument/2006/relationships/hyperlink" Target="https://www.flightradar24.com/data/airlines/at-ram" TargetMode="External"/><Relationship Id="rId122" Type="http://schemas.openxmlformats.org/officeDocument/2006/relationships/hyperlink" Target="https://www.flightradar24.com/data/airports/her" TargetMode="External"/><Relationship Id="rId774" Type="http://schemas.openxmlformats.org/officeDocument/2006/relationships/hyperlink" Target="https://www.flightradar24.com/data/flights/dn404" TargetMode="External"/><Relationship Id="rId981" Type="http://schemas.openxmlformats.org/officeDocument/2006/relationships/hyperlink" Target="https://www.flightradar24.com/data/aircraft/tf-icm" TargetMode="External"/><Relationship Id="rId1057" Type="http://schemas.openxmlformats.org/officeDocument/2006/relationships/hyperlink" Target="https://www.flightradar24.com/data/aircraft/ph-exp" TargetMode="External"/><Relationship Id="rId427" Type="http://schemas.openxmlformats.org/officeDocument/2006/relationships/hyperlink" Target="https://www.flightradar24.com/data/airlines/fr-ryr" TargetMode="External"/><Relationship Id="rId634" Type="http://schemas.openxmlformats.org/officeDocument/2006/relationships/hyperlink" Target="https://www.flightradar24.com/data/aircraft/9h-qco" TargetMode="External"/><Relationship Id="rId841" Type="http://schemas.openxmlformats.org/officeDocument/2006/relationships/hyperlink" Target="https://www.flightradar24.com/data/flights/sn3597" TargetMode="External"/><Relationship Id="rId273" Type="http://schemas.openxmlformats.org/officeDocument/2006/relationships/hyperlink" Target="https://www.flightradar24.com/data/airports/tiv" TargetMode="External"/><Relationship Id="rId480" Type="http://schemas.openxmlformats.org/officeDocument/2006/relationships/hyperlink" Target="https://www.flightradar24.com/data/airlines/sn-bel" TargetMode="External"/><Relationship Id="rId701" Type="http://schemas.openxmlformats.org/officeDocument/2006/relationships/hyperlink" Target="https://www.flightradar24.com/data/airlines/sn-bel" TargetMode="External"/><Relationship Id="rId939" Type="http://schemas.openxmlformats.org/officeDocument/2006/relationships/hyperlink" Target="https://www.flightradar24.com/data/flights/fr2917" TargetMode="External"/><Relationship Id="rId1124" Type="http://schemas.openxmlformats.org/officeDocument/2006/relationships/hyperlink" Target="https://www.flightradar24.com/data/airlines/sk-sas" TargetMode="External"/><Relationship Id="rId68" Type="http://schemas.openxmlformats.org/officeDocument/2006/relationships/hyperlink" Target="https://www.flightradar24.com/data/airlines/sn-bel" TargetMode="External"/><Relationship Id="rId133" Type="http://schemas.openxmlformats.org/officeDocument/2006/relationships/hyperlink" Target="https://www.flightradar24.com/data/airports/ham" TargetMode="External"/><Relationship Id="rId340" Type="http://schemas.openxmlformats.org/officeDocument/2006/relationships/hyperlink" Target="https://www.flightradar24.com/data/airlines/sn-bel" TargetMode="External"/><Relationship Id="rId578" Type="http://schemas.openxmlformats.org/officeDocument/2006/relationships/hyperlink" Target="https://www.flightradar24.com/data/airports/fih" TargetMode="External"/><Relationship Id="rId785" Type="http://schemas.openxmlformats.org/officeDocument/2006/relationships/hyperlink" Target="https://www.flightradar24.com/data/aircraft/n17017" TargetMode="External"/><Relationship Id="rId992" Type="http://schemas.openxmlformats.org/officeDocument/2006/relationships/hyperlink" Target="https://www.flightradar24.com/data/flights/gq801" TargetMode="External"/><Relationship Id="rId200" Type="http://schemas.openxmlformats.org/officeDocument/2006/relationships/hyperlink" Target="https://www.flightradar24.com/data/airports/bgo" TargetMode="External"/><Relationship Id="rId438" Type="http://schemas.openxmlformats.org/officeDocument/2006/relationships/hyperlink" Target="https://www.flightradar24.com/data/airports/lhr" TargetMode="External"/><Relationship Id="rId645" Type="http://schemas.openxmlformats.org/officeDocument/2006/relationships/hyperlink" Target="https://www.flightradar24.com/data/airlines/lh-dlh" TargetMode="External"/><Relationship Id="rId852" Type="http://schemas.openxmlformats.org/officeDocument/2006/relationships/hyperlink" Target="https://www.flightradar24.com/data/aircraft/oo-ssb" TargetMode="External"/><Relationship Id="rId1068" Type="http://schemas.openxmlformats.org/officeDocument/2006/relationships/hyperlink" Target="https://www.flightradar24.com/data/aircraft/d-airz" TargetMode="External"/><Relationship Id="rId284" Type="http://schemas.openxmlformats.org/officeDocument/2006/relationships/hyperlink" Target="https://www.flightradar24.com/data/airlines/vf-tkj" TargetMode="External"/><Relationship Id="rId491" Type="http://schemas.openxmlformats.org/officeDocument/2006/relationships/hyperlink" Target="https://www.flightradar24.com/data/flights/fr2948" TargetMode="External"/><Relationship Id="rId505" Type="http://schemas.openxmlformats.org/officeDocument/2006/relationships/hyperlink" Target="https://www.flightradar24.com/data/airlines/lx-swr" TargetMode="External"/><Relationship Id="rId712" Type="http://schemas.openxmlformats.org/officeDocument/2006/relationships/hyperlink" Target="https://www.flightradar24.com/data/airports/yyz" TargetMode="External"/><Relationship Id="rId1135" Type="http://schemas.openxmlformats.org/officeDocument/2006/relationships/hyperlink" Target="https://www.flightradar24.com/data/airlines/hv-tra" TargetMode="External"/><Relationship Id="rId79" Type="http://schemas.openxmlformats.org/officeDocument/2006/relationships/hyperlink" Target="https://www.flightradar24.com/data/airlines/qr-qtr" TargetMode="External"/><Relationship Id="rId144" Type="http://schemas.openxmlformats.org/officeDocument/2006/relationships/hyperlink" Target="https://www.flightradar24.com/data/airports/nce" TargetMode="External"/><Relationship Id="rId589" Type="http://schemas.openxmlformats.org/officeDocument/2006/relationships/hyperlink" Target="https://www.flightradar24.com/data/airports/nsi" TargetMode="External"/><Relationship Id="rId796" Type="http://schemas.openxmlformats.org/officeDocument/2006/relationships/hyperlink" Target="https://www.flightradar24.com/data/aircraft/ph-ezc" TargetMode="External"/><Relationship Id="rId1202" Type="http://schemas.openxmlformats.org/officeDocument/2006/relationships/hyperlink" Target="https://www.flightradar24.com/data/airports/ist" TargetMode="External"/><Relationship Id="rId351" Type="http://schemas.openxmlformats.org/officeDocument/2006/relationships/hyperlink" Target="https://www.flightradar24.com/data/aircraft/oo-ssn" TargetMode="External"/><Relationship Id="rId449" Type="http://schemas.openxmlformats.org/officeDocument/2006/relationships/hyperlink" Target="https://www.flightradar24.com/data/airlines/dl-dal" TargetMode="External"/><Relationship Id="rId656" Type="http://schemas.openxmlformats.org/officeDocument/2006/relationships/hyperlink" Target="https://www.flightradar24.com/data/airports/flr" TargetMode="External"/><Relationship Id="rId863" Type="http://schemas.openxmlformats.org/officeDocument/2006/relationships/hyperlink" Target="https://www.flightradar24.com/data/airlines/ba-baw" TargetMode="External"/><Relationship Id="rId1079" Type="http://schemas.openxmlformats.org/officeDocument/2006/relationships/hyperlink" Target="https://www.flightradar24.com/data/aircraft/ei-eby" TargetMode="External"/><Relationship Id="rId211" Type="http://schemas.openxmlformats.org/officeDocument/2006/relationships/hyperlink" Target="https://www.flightradar24.com/data/airlines/ek-uae" TargetMode="External"/><Relationship Id="rId295" Type="http://schemas.openxmlformats.org/officeDocument/2006/relationships/hyperlink" Target="https://www.flightradar24.com/data/aircraft/cn-nmp" TargetMode="External"/><Relationship Id="rId309" Type="http://schemas.openxmlformats.org/officeDocument/2006/relationships/hyperlink" Target="https://www.flightradar24.com/data/flights/3o135" TargetMode="External"/><Relationship Id="rId516" Type="http://schemas.openxmlformats.org/officeDocument/2006/relationships/hyperlink" Target="https://www.flightradar24.com/data/aircraft/c-goik" TargetMode="External"/><Relationship Id="rId1146" Type="http://schemas.openxmlformats.org/officeDocument/2006/relationships/hyperlink" Target="https://www.flightradar24.com/data/aircraft/d-aibf" TargetMode="External"/><Relationship Id="rId723" Type="http://schemas.openxmlformats.org/officeDocument/2006/relationships/hyperlink" Target="https://www.flightradar24.com/data/airports/lys" TargetMode="External"/><Relationship Id="rId930" Type="http://schemas.openxmlformats.org/officeDocument/2006/relationships/hyperlink" Target="https://www.flightradar24.com/data/aircraft/cn-nml" TargetMode="External"/><Relationship Id="rId1006" Type="http://schemas.openxmlformats.org/officeDocument/2006/relationships/hyperlink" Target="https://www.flightradar24.com/data/flights/sn3343" TargetMode="External"/><Relationship Id="rId155" Type="http://schemas.openxmlformats.org/officeDocument/2006/relationships/hyperlink" Target="https://www.flightradar24.com/data/airports/fra" TargetMode="External"/><Relationship Id="rId362" Type="http://schemas.openxmlformats.org/officeDocument/2006/relationships/hyperlink" Target="https://www.flightradar24.com/data/airports/lhr" TargetMode="External"/><Relationship Id="rId1213" Type="http://schemas.openxmlformats.org/officeDocument/2006/relationships/hyperlink" Target="https://www.flightradar24.com/data/flights/ek182" TargetMode="External"/><Relationship Id="rId222" Type="http://schemas.openxmlformats.org/officeDocument/2006/relationships/hyperlink" Target="https://www.flightradar24.com/data/airports/ber" TargetMode="External"/><Relationship Id="rId667" Type="http://schemas.openxmlformats.org/officeDocument/2006/relationships/hyperlink" Target="https://www.flightradar24.com/data/flights/lh2283" TargetMode="External"/><Relationship Id="rId874" Type="http://schemas.openxmlformats.org/officeDocument/2006/relationships/hyperlink" Target="https://www.flightradar24.com/data/airlines/lh-dlh" TargetMode="External"/><Relationship Id="rId17" Type="http://schemas.openxmlformats.org/officeDocument/2006/relationships/hyperlink" Target="https://www.flightradar24.com/data/airports/ahu" TargetMode="External"/><Relationship Id="rId527" Type="http://schemas.openxmlformats.org/officeDocument/2006/relationships/hyperlink" Target="https://www.flightradar24.com/data/flights/ua999" TargetMode="External"/><Relationship Id="rId734" Type="http://schemas.openxmlformats.org/officeDocument/2006/relationships/hyperlink" Target="https://www.flightradar24.com/data/aircraft/oo-ssl" TargetMode="External"/><Relationship Id="rId941" Type="http://schemas.openxmlformats.org/officeDocument/2006/relationships/hyperlink" Target="https://www.flightradar24.com/data/airlines/fr-ryr" TargetMode="External"/><Relationship Id="rId1157" Type="http://schemas.openxmlformats.org/officeDocument/2006/relationships/hyperlink" Target="https://www.flightradar24.com/data/airports/doh" TargetMode="External"/><Relationship Id="rId70" Type="http://schemas.openxmlformats.org/officeDocument/2006/relationships/hyperlink" Target="https://www.flightradar24.com/data/flights/sn2292" TargetMode="External"/><Relationship Id="rId166" Type="http://schemas.openxmlformats.org/officeDocument/2006/relationships/hyperlink" Target="https://www.flightradar24.com/data/airports/pmo" TargetMode="External"/><Relationship Id="rId373" Type="http://schemas.openxmlformats.org/officeDocument/2006/relationships/hyperlink" Target="https://www.flightradar24.com/data/flights/sk593" TargetMode="External"/><Relationship Id="rId580" Type="http://schemas.openxmlformats.org/officeDocument/2006/relationships/hyperlink" Target="https://www.flightradar24.com/data/aircraft/d-cawo" TargetMode="External"/><Relationship Id="rId801" Type="http://schemas.openxmlformats.org/officeDocument/2006/relationships/hyperlink" Target="https://www.flightradar24.com/data/flights/sn3811" TargetMode="External"/><Relationship Id="rId1017" Type="http://schemas.openxmlformats.org/officeDocument/2006/relationships/hyperlink" Target="https://www.flightradar24.com/data/airports/mad" TargetMode="External"/><Relationship Id="rId1" Type="http://schemas.openxmlformats.org/officeDocument/2006/relationships/hyperlink" Target="https://www.flightradar24.com/data/aircraft/a6-eql" TargetMode="External"/><Relationship Id="rId233" Type="http://schemas.openxmlformats.org/officeDocument/2006/relationships/hyperlink" Target="https://www.flightradar24.com/data/airports/agp" TargetMode="External"/><Relationship Id="rId440" Type="http://schemas.openxmlformats.org/officeDocument/2006/relationships/hyperlink" Target="https://www.flightradar24.com/data/airlines/lx-swr" TargetMode="External"/><Relationship Id="rId678" Type="http://schemas.openxmlformats.org/officeDocument/2006/relationships/hyperlink" Target="https://www.flightradar24.com/data/aircraft/oo-tcv" TargetMode="External"/><Relationship Id="rId885" Type="http://schemas.openxmlformats.org/officeDocument/2006/relationships/hyperlink" Target="https://www.flightradar24.com/data/aircraft/b-1345" TargetMode="External"/><Relationship Id="rId1070" Type="http://schemas.openxmlformats.org/officeDocument/2006/relationships/hyperlink" Target="https://www.flightradar24.com/data/airports/tng" TargetMode="External"/><Relationship Id="rId28" Type="http://schemas.openxmlformats.org/officeDocument/2006/relationships/hyperlink" Target="https://www.flightradar24.com/data/airports/tfs" TargetMode="External"/><Relationship Id="rId300" Type="http://schemas.openxmlformats.org/officeDocument/2006/relationships/hyperlink" Target="https://www.flightradar24.com/data/airlines/tu-tar" TargetMode="External"/><Relationship Id="rId538" Type="http://schemas.openxmlformats.org/officeDocument/2006/relationships/hyperlink" Target="https://www.flightradar24.com/data/airports/jfk" TargetMode="External"/><Relationship Id="rId745" Type="http://schemas.openxmlformats.org/officeDocument/2006/relationships/hyperlink" Target="https://www.flightradar24.com/data/airlines/lx-swr" TargetMode="External"/><Relationship Id="rId952" Type="http://schemas.openxmlformats.org/officeDocument/2006/relationships/hyperlink" Target="https://www.flightradar24.com/data/airlines/x3-tui" TargetMode="External"/><Relationship Id="rId1168" Type="http://schemas.openxmlformats.org/officeDocument/2006/relationships/hyperlink" Target="https://www.flightradar24.com/data/airlines/sn-bel" TargetMode="External"/><Relationship Id="rId81" Type="http://schemas.openxmlformats.org/officeDocument/2006/relationships/hyperlink" Target="https://www.flightradar24.com/data/aircraft/oo-snn" TargetMode="External"/><Relationship Id="rId177" Type="http://schemas.openxmlformats.org/officeDocument/2006/relationships/hyperlink" Target="https://www.flightradar24.com/data/airlines/hv-tra" TargetMode="External"/><Relationship Id="rId384" Type="http://schemas.openxmlformats.org/officeDocument/2006/relationships/hyperlink" Target="https://www.flightradar24.com/data/airports/dub" TargetMode="External"/><Relationship Id="rId591" Type="http://schemas.openxmlformats.org/officeDocument/2006/relationships/hyperlink" Target="https://www.flightradar24.com/data/aircraft/d-almd" TargetMode="External"/><Relationship Id="rId605" Type="http://schemas.openxmlformats.org/officeDocument/2006/relationships/hyperlink" Target="https://www.flightradar24.com/data/airports/dlm" TargetMode="External"/><Relationship Id="rId812" Type="http://schemas.openxmlformats.org/officeDocument/2006/relationships/hyperlink" Target="https://www.flightradar24.com/data/aircraft/oo-sfb" TargetMode="External"/><Relationship Id="rId1028" Type="http://schemas.openxmlformats.org/officeDocument/2006/relationships/hyperlink" Target="https://www.flightradar24.com/data/aircraft/tc-jtk" TargetMode="External"/><Relationship Id="rId244" Type="http://schemas.openxmlformats.org/officeDocument/2006/relationships/hyperlink" Target="https://www.flightradar24.com/data/airports/psa" TargetMode="External"/><Relationship Id="rId689" Type="http://schemas.openxmlformats.org/officeDocument/2006/relationships/hyperlink" Target="https://www.flightradar24.com/data/airlines/fr-ryr" TargetMode="External"/><Relationship Id="rId896" Type="http://schemas.openxmlformats.org/officeDocument/2006/relationships/hyperlink" Target="https://www.flightradar24.com/data/flights/3o136" TargetMode="External"/><Relationship Id="rId1081" Type="http://schemas.openxmlformats.org/officeDocument/2006/relationships/hyperlink" Target="https://www.flightradar24.com/data/airlines/sn-bel" TargetMode="External"/><Relationship Id="rId39" Type="http://schemas.openxmlformats.org/officeDocument/2006/relationships/hyperlink" Target="https://www.flightradar24.com/data/airports/aoe" TargetMode="External"/><Relationship Id="rId451" Type="http://schemas.openxmlformats.org/officeDocument/2006/relationships/hyperlink" Target="https://www.flightradar24.com/data/aircraft/oo-ssw" TargetMode="External"/><Relationship Id="rId549" Type="http://schemas.openxmlformats.org/officeDocument/2006/relationships/hyperlink" Target="https://www.flightradar24.com/data/airlines/ua-ual" TargetMode="External"/><Relationship Id="rId756" Type="http://schemas.openxmlformats.org/officeDocument/2006/relationships/hyperlink" Target="https://www.flightradar24.com/data/airports/lin" TargetMode="External"/><Relationship Id="rId1179" Type="http://schemas.openxmlformats.org/officeDocument/2006/relationships/hyperlink" Target="https://www.flightradar24.com/data/airlines/xq-sxs" TargetMode="External"/><Relationship Id="rId104" Type="http://schemas.openxmlformats.org/officeDocument/2006/relationships/hyperlink" Target="https://www.flightradar24.com/data/flights/tb2342" TargetMode="External"/><Relationship Id="rId188" Type="http://schemas.openxmlformats.org/officeDocument/2006/relationships/hyperlink" Target="https://www.flightradar24.com/data/airlines/sn-bel" TargetMode="External"/><Relationship Id="rId311" Type="http://schemas.openxmlformats.org/officeDocument/2006/relationships/hyperlink" Target="https://www.flightradar24.com/data/airlines/sn-bel" TargetMode="External"/><Relationship Id="rId395" Type="http://schemas.openxmlformats.org/officeDocument/2006/relationships/hyperlink" Target="https://www.flightradar24.com/data/airlines/sn-bel" TargetMode="External"/><Relationship Id="rId409" Type="http://schemas.openxmlformats.org/officeDocument/2006/relationships/hyperlink" Target="https://www.flightradar24.com/data/airlines/dn-joc" TargetMode="External"/><Relationship Id="rId963" Type="http://schemas.openxmlformats.org/officeDocument/2006/relationships/hyperlink" Target="https://www.flightradar24.com/data/aircraft/oo-snj" TargetMode="External"/><Relationship Id="rId1039" Type="http://schemas.openxmlformats.org/officeDocument/2006/relationships/hyperlink" Target="https://www.flightradar24.com/data/airlines/sn-bel" TargetMode="External"/><Relationship Id="rId92" Type="http://schemas.openxmlformats.org/officeDocument/2006/relationships/hyperlink" Target="https://www.flightradar24.com/data/flights/fr1452" TargetMode="External"/><Relationship Id="rId616" Type="http://schemas.openxmlformats.org/officeDocument/2006/relationships/hyperlink" Target="https://www.flightradar24.com/data/airports/ayt" TargetMode="External"/><Relationship Id="rId823" Type="http://schemas.openxmlformats.org/officeDocument/2006/relationships/hyperlink" Target="https://www.flightradar24.com/data/airlines/ux-aea" TargetMode="External"/><Relationship Id="rId255" Type="http://schemas.openxmlformats.org/officeDocument/2006/relationships/hyperlink" Target="https://www.flightradar24.com/data/airports/bcn" TargetMode="External"/><Relationship Id="rId462" Type="http://schemas.openxmlformats.org/officeDocument/2006/relationships/hyperlink" Target="https://www.flightradar24.com/data/airports/zag" TargetMode="External"/><Relationship Id="rId1092" Type="http://schemas.openxmlformats.org/officeDocument/2006/relationships/hyperlink" Target="https://www.flightradar24.com/data/airlines/6y-art" TargetMode="External"/><Relationship Id="rId1106" Type="http://schemas.openxmlformats.org/officeDocument/2006/relationships/hyperlink" Target="https://www.flightradar24.com/data/airlines/6y-art" TargetMode="External"/><Relationship Id="rId115" Type="http://schemas.openxmlformats.org/officeDocument/2006/relationships/hyperlink" Target="https://www.flightradar24.com/data/flights/tb2252" TargetMode="External"/><Relationship Id="rId322" Type="http://schemas.openxmlformats.org/officeDocument/2006/relationships/hyperlink" Target="https://www.flightradar24.com/data/flights/fr2924" TargetMode="External"/><Relationship Id="rId767" Type="http://schemas.openxmlformats.org/officeDocument/2006/relationships/hyperlink" Target="https://www.flightradar24.com/data/airports/yul" TargetMode="External"/><Relationship Id="rId974" Type="http://schemas.openxmlformats.org/officeDocument/2006/relationships/hyperlink" Target="https://www.flightradar24.com/data/aircraft/ph-tfl" TargetMode="External"/><Relationship Id="rId199" Type="http://schemas.openxmlformats.org/officeDocument/2006/relationships/hyperlink" Target="https://www.flightradar24.com/data/airlines/wf-wif" TargetMode="External"/><Relationship Id="rId627" Type="http://schemas.openxmlformats.org/officeDocument/2006/relationships/hyperlink" Target="https://www.flightradar24.com/data/flights/sn2729" TargetMode="External"/><Relationship Id="rId834" Type="http://schemas.openxmlformats.org/officeDocument/2006/relationships/hyperlink" Target="https://www.flightradar24.com/data/airports/auh" TargetMode="External"/><Relationship Id="rId266" Type="http://schemas.openxmlformats.org/officeDocument/2006/relationships/hyperlink" Target="https://www.flightradar24.com/data/airports/alc" TargetMode="External"/><Relationship Id="rId473" Type="http://schemas.openxmlformats.org/officeDocument/2006/relationships/hyperlink" Target="https://www.flightradar24.com/data/airlines/sn-bel" TargetMode="External"/><Relationship Id="rId680" Type="http://schemas.openxmlformats.org/officeDocument/2006/relationships/hyperlink" Target="https://www.flightradar24.com/data/airports/zag" TargetMode="External"/><Relationship Id="rId901" Type="http://schemas.openxmlformats.org/officeDocument/2006/relationships/hyperlink" Target="https://www.flightradar24.com/data/airlines/ua-ual" TargetMode="External"/><Relationship Id="rId1117" Type="http://schemas.openxmlformats.org/officeDocument/2006/relationships/hyperlink" Target="https://www.flightradar24.com/data/airlines/fh-fhy" TargetMode="External"/><Relationship Id="rId30" Type="http://schemas.openxmlformats.org/officeDocument/2006/relationships/hyperlink" Target="https://www.flightradar24.com/data/aircraft/oo-snp" TargetMode="External"/><Relationship Id="rId126" Type="http://schemas.openxmlformats.org/officeDocument/2006/relationships/hyperlink" Target="https://www.flightradar24.com/data/airports/bcn" TargetMode="External"/><Relationship Id="rId333" Type="http://schemas.openxmlformats.org/officeDocument/2006/relationships/hyperlink" Target="https://www.flightradar24.com/data/aircraft/n17128" TargetMode="External"/><Relationship Id="rId540" Type="http://schemas.openxmlformats.org/officeDocument/2006/relationships/hyperlink" Target="https://www.flightradar24.com/data/aircraft/a6-blm" TargetMode="External"/><Relationship Id="rId778" Type="http://schemas.openxmlformats.org/officeDocument/2006/relationships/hyperlink" Target="https://www.flightradar24.com/data/flights/lo236" TargetMode="External"/><Relationship Id="rId985" Type="http://schemas.openxmlformats.org/officeDocument/2006/relationships/hyperlink" Target="https://www.flightradar24.com/data/aircraft/oo-tcq" TargetMode="External"/><Relationship Id="rId1170" Type="http://schemas.openxmlformats.org/officeDocument/2006/relationships/hyperlink" Target="https://www.flightradar24.com/data/flights/sn2627" TargetMode="External"/><Relationship Id="rId638" Type="http://schemas.openxmlformats.org/officeDocument/2006/relationships/hyperlink" Target="https://www.flightradar24.com/data/aircraft/hb-jxl" TargetMode="External"/><Relationship Id="rId845" Type="http://schemas.openxmlformats.org/officeDocument/2006/relationships/hyperlink" Target="https://www.flightradar24.com/data/flights/sn3711" TargetMode="External"/><Relationship Id="rId1030" Type="http://schemas.openxmlformats.org/officeDocument/2006/relationships/hyperlink" Target="https://www.flightradar24.com/data/airlines/sn-bel" TargetMode="External"/><Relationship Id="rId277" Type="http://schemas.openxmlformats.org/officeDocument/2006/relationships/hyperlink" Target="https://www.flightradar24.com/data/airports/fez" TargetMode="External"/><Relationship Id="rId400" Type="http://schemas.openxmlformats.org/officeDocument/2006/relationships/hyperlink" Target="https://www.flightradar24.com/data/flights/fr2929" TargetMode="External"/><Relationship Id="rId484" Type="http://schemas.openxmlformats.org/officeDocument/2006/relationships/hyperlink" Target="https://www.flightradar24.com/data/airports/lin" TargetMode="External"/><Relationship Id="rId705" Type="http://schemas.openxmlformats.org/officeDocument/2006/relationships/hyperlink" Target="https://www.flightradar24.com/data/airlines/sn-bel" TargetMode="External"/><Relationship Id="rId1128" Type="http://schemas.openxmlformats.org/officeDocument/2006/relationships/hyperlink" Target="https://www.flightradar24.com/data/airlines/x3-tui" TargetMode="External"/><Relationship Id="rId137" Type="http://schemas.openxmlformats.org/officeDocument/2006/relationships/hyperlink" Target="https://www.flightradar24.com/data/airports/zrh" TargetMode="External"/><Relationship Id="rId344" Type="http://schemas.openxmlformats.org/officeDocument/2006/relationships/hyperlink" Target="https://www.flightradar24.com/data/airports/ath" TargetMode="External"/><Relationship Id="rId691" Type="http://schemas.openxmlformats.org/officeDocument/2006/relationships/hyperlink" Target="https://www.flightradar24.com/data/flights/sn2581" TargetMode="External"/><Relationship Id="rId789" Type="http://schemas.openxmlformats.org/officeDocument/2006/relationships/hyperlink" Target="https://www.flightradar24.com/data/flights/ei631" TargetMode="External"/><Relationship Id="rId912" Type="http://schemas.openxmlformats.org/officeDocument/2006/relationships/hyperlink" Target="https://www.flightradar24.com/data/airports/bcn" TargetMode="External"/><Relationship Id="rId996" Type="http://schemas.openxmlformats.org/officeDocument/2006/relationships/hyperlink" Target="https://www.flightradar24.com/data/airports/blq" TargetMode="External"/><Relationship Id="rId41" Type="http://schemas.openxmlformats.org/officeDocument/2006/relationships/hyperlink" Target="https://www.flightradar24.com/data/aircraft/oo-sbb" TargetMode="External"/><Relationship Id="rId551" Type="http://schemas.openxmlformats.org/officeDocument/2006/relationships/hyperlink" Target="https://www.flightradar24.com/data/flights/ua950" TargetMode="External"/><Relationship Id="rId649" Type="http://schemas.openxmlformats.org/officeDocument/2006/relationships/hyperlink" Target="https://www.flightradar24.com/data/airlines/lx-swr" TargetMode="External"/><Relationship Id="rId856" Type="http://schemas.openxmlformats.org/officeDocument/2006/relationships/hyperlink" Target="https://www.flightradar24.com/data/aircraft/tc-sph" TargetMode="External"/><Relationship Id="rId1181" Type="http://schemas.openxmlformats.org/officeDocument/2006/relationships/hyperlink" Target="https://www.flightradar24.com/data/airports/ayt" TargetMode="External"/><Relationship Id="rId190" Type="http://schemas.openxmlformats.org/officeDocument/2006/relationships/hyperlink" Target="https://www.flightradar24.com/data/aircraft/oo-ssj" TargetMode="External"/><Relationship Id="rId204" Type="http://schemas.openxmlformats.org/officeDocument/2006/relationships/hyperlink" Target="https://www.flightradar24.com/data/airports/flr" TargetMode="External"/><Relationship Id="rId288" Type="http://schemas.openxmlformats.org/officeDocument/2006/relationships/hyperlink" Target="https://www.flightradar24.com/data/airlines/g9-aby" TargetMode="External"/><Relationship Id="rId411" Type="http://schemas.openxmlformats.org/officeDocument/2006/relationships/hyperlink" Target="https://www.flightradar24.com/data/aircraft/ec-mkn" TargetMode="External"/><Relationship Id="rId509" Type="http://schemas.openxmlformats.org/officeDocument/2006/relationships/hyperlink" Target="https://www.flightradar24.com/data/airlines/hu-chh" TargetMode="External"/><Relationship Id="rId1041" Type="http://schemas.openxmlformats.org/officeDocument/2006/relationships/hyperlink" Target="https://www.flightradar24.com/data/airports/bcn" TargetMode="External"/><Relationship Id="rId1139" Type="http://schemas.openxmlformats.org/officeDocument/2006/relationships/hyperlink" Target="https://www.flightradar24.com/data/aircraft/su-ged" TargetMode="External"/><Relationship Id="rId495" Type="http://schemas.openxmlformats.org/officeDocument/2006/relationships/hyperlink" Target="https://www.flightradar24.com/data/aircraft/oo-snm" TargetMode="External"/><Relationship Id="rId716" Type="http://schemas.openxmlformats.org/officeDocument/2006/relationships/hyperlink" Target="https://www.flightradar24.com/data/airports/krk" TargetMode="External"/><Relationship Id="rId923" Type="http://schemas.openxmlformats.org/officeDocument/2006/relationships/hyperlink" Target="https://www.flightradar24.com/data/flights/vf66" TargetMode="External"/><Relationship Id="rId52" Type="http://schemas.openxmlformats.org/officeDocument/2006/relationships/hyperlink" Target="https://www.flightradar24.com/data/airports/bio" TargetMode="External"/><Relationship Id="rId148" Type="http://schemas.openxmlformats.org/officeDocument/2006/relationships/hyperlink" Target="https://www.flightradar24.com/data/airports/vie" TargetMode="External"/><Relationship Id="rId355" Type="http://schemas.openxmlformats.org/officeDocument/2006/relationships/hyperlink" Target="https://www.flightradar24.com/data/airlines/sn-bel" TargetMode="External"/><Relationship Id="rId562" Type="http://schemas.openxmlformats.org/officeDocument/2006/relationships/hyperlink" Target="https://www.flightradar24.com/data/airports/add" TargetMode="External"/><Relationship Id="rId1192" Type="http://schemas.openxmlformats.org/officeDocument/2006/relationships/hyperlink" Target="https://www.flightradar24.com/data/airports/fco" TargetMode="External"/><Relationship Id="rId1206" Type="http://schemas.openxmlformats.org/officeDocument/2006/relationships/hyperlink" Target="https://www.flightradar24.com/data/airports/cgn" TargetMode="External"/><Relationship Id="rId215" Type="http://schemas.openxmlformats.org/officeDocument/2006/relationships/hyperlink" Target="https://www.flightradar24.com/data/airports/lhr" TargetMode="External"/><Relationship Id="rId422" Type="http://schemas.openxmlformats.org/officeDocument/2006/relationships/hyperlink" Target="https://www.flightradar24.com/data/airports/ord" TargetMode="External"/><Relationship Id="rId867" Type="http://schemas.openxmlformats.org/officeDocument/2006/relationships/hyperlink" Target="https://www.flightradar24.com/data/airlines/fr-ryr" TargetMode="External"/><Relationship Id="rId1052" Type="http://schemas.openxmlformats.org/officeDocument/2006/relationships/hyperlink" Target="https://www.flightradar24.com/data/airports/zth" TargetMode="External"/><Relationship Id="rId299" Type="http://schemas.openxmlformats.org/officeDocument/2006/relationships/hyperlink" Target="https://www.flightradar24.com/data/aircraft/ts-imt" TargetMode="External"/><Relationship Id="rId727" Type="http://schemas.openxmlformats.org/officeDocument/2006/relationships/hyperlink" Target="https://www.flightradar24.com/data/airlines/bt-bti" TargetMode="External"/><Relationship Id="rId934" Type="http://schemas.openxmlformats.org/officeDocument/2006/relationships/hyperlink" Target="https://www.flightradar24.com/data/aircraft/oo-jax" TargetMode="External"/><Relationship Id="rId63" Type="http://schemas.openxmlformats.org/officeDocument/2006/relationships/hyperlink" Target="https://www.flightradar24.com/data/airports/cai" TargetMode="External"/><Relationship Id="rId159" Type="http://schemas.openxmlformats.org/officeDocument/2006/relationships/hyperlink" Target="https://www.flightradar24.com/data/flights/sn3668" TargetMode="External"/><Relationship Id="rId366" Type="http://schemas.openxmlformats.org/officeDocument/2006/relationships/hyperlink" Target="https://www.flightradar24.com/data/aircraft/oo-tcq" TargetMode="External"/><Relationship Id="rId573" Type="http://schemas.openxmlformats.org/officeDocument/2006/relationships/hyperlink" Target="https://www.flightradar24.com/data/airlines/sn-bel" TargetMode="External"/><Relationship Id="rId780" Type="http://schemas.openxmlformats.org/officeDocument/2006/relationships/hyperlink" Target="https://www.flightradar24.com/data/airlines/lo-lot" TargetMode="External"/><Relationship Id="rId1217" Type="http://schemas.openxmlformats.org/officeDocument/2006/relationships/hyperlink" Target="https://www.flightradar24.com/data/aircraft/oo-ssx" TargetMode="External"/><Relationship Id="rId226" Type="http://schemas.openxmlformats.org/officeDocument/2006/relationships/hyperlink" Target="https://www.flightradar24.com/data/flights/hv9078" TargetMode="External"/><Relationship Id="rId433" Type="http://schemas.openxmlformats.org/officeDocument/2006/relationships/hyperlink" Target="https://www.flightradar24.com/data/aircraft/oo-ssa" TargetMode="External"/><Relationship Id="rId878" Type="http://schemas.openxmlformats.org/officeDocument/2006/relationships/hyperlink" Target="https://www.flightradar24.com/data/aircraft/tc-lsp" TargetMode="External"/><Relationship Id="rId1063" Type="http://schemas.openxmlformats.org/officeDocument/2006/relationships/hyperlink" Target="https://www.flightradar24.com/data/airlines/sn-bel" TargetMode="External"/><Relationship Id="rId640" Type="http://schemas.openxmlformats.org/officeDocument/2006/relationships/hyperlink" Target="https://www.flightradar24.com/data/airports/aoe" TargetMode="External"/><Relationship Id="rId738" Type="http://schemas.openxmlformats.org/officeDocument/2006/relationships/hyperlink" Target="https://www.flightradar24.com/data/airports/beg" TargetMode="External"/><Relationship Id="rId945" Type="http://schemas.openxmlformats.org/officeDocument/2006/relationships/hyperlink" Target="https://www.flightradar24.com/data/aircraft/d-acnh" TargetMode="External"/><Relationship Id="rId74" Type="http://schemas.openxmlformats.org/officeDocument/2006/relationships/hyperlink" Target="https://www.flightradar24.com/data/flights/" TargetMode="External"/><Relationship Id="rId377" Type="http://schemas.openxmlformats.org/officeDocument/2006/relationships/hyperlink" Target="https://www.flightradar24.com/data/flights/ux1171" TargetMode="External"/><Relationship Id="rId500" Type="http://schemas.openxmlformats.org/officeDocument/2006/relationships/hyperlink" Target="https://www.flightradar24.com/data/airports/ham" TargetMode="External"/><Relationship Id="rId584" Type="http://schemas.openxmlformats.org/officeDocument/2006/relationships/hyperlink" Target="https://www.flightradar24.com/data/airlines/ac-aca" TargetMode="External"/><Relationship Id="rId805" Type="http://schemas.openxmlformats.org/officeDocument/2006/relationships/hyperlink" Target="https://www.flightradar24.com/data/flights/sk594" TargetMode="External"/><Relationship Id="rId1130" Type="http://schemas.openxmlformats.org/officeDocument/2006/relationships/hyperlink" Target="https://www.flightradar24.com/data/airports/lis" TargetMode="External"/><Relationship Id="rId5" Type="http://schemas.openxmlformats.org/officeDocument/2006/relationships/hyperlink" Target="https://www.flightradar24.com/data/airlines/tk-thy" TargetMode="External"/><Relationship Id="rId237" Type="http://schemas.openxmlformats.org/officeDocument/2006/relationships/hyperlink" Target="https://www.flightradar24.com/data/airports/agp" TargetMode="External"/><Relationship Id="rId791" Type="http://schemas.openxmlformats.org/officeDocument/2006/relationships/hyperlink" Target="https://www.flightradar24.com/data/airlines/ei-ein" TargetMode="External"/><Relationship Id="rId889" Type="http://schemas.openxmlformats.org/officeDocument/2006/relationships/hyperlink" Target="https://www.flightradar24.com/data/airports/lis" TargetMode="External"/><Relationship Id="rId1074" Type="http://schemas.openxmlformats.org/officeDocument/2006/relationships/hyperlink" Target="https://www.flightradar24.com/data/airlines/ek-uae" TargetMode="External"/><Relationship Id="rId444" Type="http://schemas.openxmlformats.org/officeDocument/2006/relationships/hyperlink" Target="https://www.flightradar24.com/data/airports/beg" TargetMode="External"/><Relationship Id="rId651" Type="http://schemas.openxmlformats.org/officeDocument/2006/relationships/hyperlink" Target="https://www.flightradar24.com/data/flights/qr8114" TargetMode="External"/><Relationship Id="rId749" Type="http://schemas.openxmlformats.org/officeDocument/2006/relationships/hyperlink" Target="https://www.flightradar24.com/data/aircraft/oe-lxb" TargetMode="External"/><Relationship Id="rId290" Type="http://schemas.openxmlformats.org/officeDocument/2006/relationships/hyperlink" Target="https://www.flightradar24.com/data/flights/3o137" TargetMode="External"/><Relationship Id="rId304" Type="http://schemas.openxmlformats.org/officeDocument/2006/relationships/hyperlink" Target="https://www.flightradar24.com/data/airlines/ib-ibe" TargetMode="External"/><Relationship Id="rId388" Type="http://schemas.openxmlformats.org/officeDocument/2006/relationships/hyperlink" Target="https://www.flightradar24.com/data/airports/ams" TargetMode="External"/><Relationship Id="rId511" Type="http://schemas.openxmlformats.org/officeDocument/2006/relationships/hyperlink" Target="https://www.flightradar24.com/data/flights/hu759" TargetMode="External"/><Relationship Id="rId609" Type="http://schemas.openxmlformats.org/officeDocument/2006/relationships/hyperlink" Target="https://www.flightradar24.com/data/airports/aoe" TargetMode="External"/><Relationship Id="rId956" Type="http://schemas.openxmlformats.org/officeDocument/2006/relationships/hyperlink" Target="https://www.flightradar24.com/data/aircraft/d-caro" TargetMode="External"/><Relationship Id="rId1141" Type="http://schemas.openxmlformats.org/officeDocument/2006/relationships/hyperlink" Target="https://www.flightradar24.com/data/airports/agp" TargetMode="External"/><Relationship Id="rId85" Type="http://schemas.openxmlformats.org/officeDocument/2006/relationships/hyperlink" Target="https://www.flightradar24.com/data/aircraft/ec-mxg" TargetMode="External"/><Relationship Id="rId150" Type="http://schemas.openxmlformats.org/officeDocument/2006/relationships/hyperlink" Target="https://www.flightradar24.com/data/airlines/sn-bel" TargetMode="External"/><Relationship Id="rId595" Type="http://schemas.openxmlformats.org/officeDocument/2006/relationships/hyperlink" Target="https://www.flightradar24.com/data/aircraft/d-aeaj" TargetMode="External"/><Relationship Id="rId816" Type="http://schemas.openxmlformats.org/officeDocument/2006/relationships/hyperlink" Target="https://www.flightradar24.com/data/aircraft/n1201p" TargetMode="External"/><Relationship Id="rId1001" Type="http://schemas.openxmlformats.org/officeDocument/2006/relationships/hyperlink" Target="https://www.flightradar24.com/data/airlines/wf-wif" TargetMode="External"/><Relationship Id="rId248" Type="http://schemas.openxmlformats.org/officeDocument/2006/relationships/hyperlink" Target="https://www.flightradar24.com/data/airports/fco" TargetMode="External"/><Relationship Id="rId455" Type="http://schemas.openxmlformats.org/officeDocument/2006/relationships/hyperlink" Target="https://www.flightradar24.com/data/airlines/sn-bel" TargetMode="External"/><Relationship Id="rId662" Type="http://schemas.openxmlformats.org/officeDocument/2006/relationships/hyperlink" Target="https://www.flightradar24.com/data/aircraft/et-apu" TargetMode="External"/><Relationship Id="rId1085" Type="http://schemas.openxmlformats.org/officeDocument/2006/relationships/hyperlink" Target="https://www.flightradar24.com/data/aircraft/oo-ssu" TargetMode="External"/><Relationship Id="rId12" Type="http://schemas.openxmlformats.org/officeDocument/2006/relationships/hyperlink" Target="https://www.flightradar24.com/data/airlines/at-ram" TargetMode="External"/><Relationship Id="rId108" Type="http://schemas.openxmlformats.org/officeDocument/2006/relationships/hyperlink" Target="https://www.flightradar24.com/data/flights/tb2302" TargetMode="External"/><Relationship Id="rId315" Type="http://schemas.openxmlformats.org/officeDocument/2006/relationships/hyperlink" Target="https://www.flightradar24.com/data/airports/lis" TargetMode="External"/><Relationship Id="rId522" Type="http://schemas.openxmlformats.org/officeDocument/2006/relationships/hyperlink" Target="https://www.flightradar24.com/data/airports/iad" TargetMode="External"/><Relationship Id="rId967" Type="http://schemas.openxmlformats.org/officeDocument/2006/relationships/hyperlink" Target="https://www.flightradar24.com/data/aircraft/b-208s" TargetMode="External"/><Relationship Id="rId1152" Type="http://schemas.openxmlformats.org/officeDocument/2006/relationships/hyperlink" Target="https://www.flightradar24.com/data/aircraft/oo-sso" TargetMode="External"/><Relationship Id="rId96" Type="http://schemas.openxmlformats.org/officeDocument/2006/relationships/hyperlink" Target="https://www.flightradar24.com/data/flights/az150" TargetMode="External"/><Relationship Id="rId161" Type="http://schemas.openxmlformats.org/officeDocument/2006/relationships/hyperlink" Target="https://www.flightradar24.com/data/airlines/ah-dah" TargetMode="External"/><Relationship Id="rId399" Type="http://schemas.openxmlformats.org/officeDocument/2006/relationships/hyperlink" Target="https://www.flightradar24.com/data/airports/opo" TargetMode="External"/><Relationship Id="rId827" Type="http://schemas.openxmlformats.org/officeDocument/2006/relationships/hyperlink" Target="https://www.flightradar24.com/data/airlines/sn-bel" TargetMode="External"/><Relationship Id="rId1012" Type="http://schemas.openxmlformats.org/officeDocument/2006/relationships/hyperlink" Target="https://www.flightradar24.com/data/airlines/x3-tui" TargetMode="External"/><Relationship Id="rId259" Type="http://schemas.openxmlformats.org/officeDocument/2006/relationships/hyperlink" Target="https://www.flightradar24.com/data/airports/tun" TargetMode="External"/><Relationship Id="rId466" Type="http://schemas.openxmlformats.org/officeDocument/2006/relationships/hyperlink" Target="https://www.flightradar24.com/data/aircraft/oo-ssx" TargetMode="External"/><Relationship Id="rId673" Type="http://schemas.openxmlformats.org/officeDocument/2006/relationships/hyperlink" Target="https://www.flightradar24.com/data/airlines/d0-dhk" TargetMode="External"/><Relationship Id="rId880" Type="http://schemas.openxmlformats.org/officeDocument/2006/relationships/hyperlink" Target="https://www.flightradar24.com/data/airlines/sn-bel" TargetMode="External"/><Relationship Id="rId1096" Type="http://schemas.openxmlformats.org/officeDocument/2006/relationships/hyperlink" Target="https://www.flightradar24.com/data/airlines/vy-vlg" TargetMode="External"/><Relationship Id="rId23" Type="http://schemas.openxmlformats.org/officeDocument/2006/relationships/hyperlink" Target="https://www.flightradar24.com/data/aircraft/tc-spj" TargetMode="External"/><Relationship Id="rId119" Type="http://schemas.openxmlformats.org/officeDocument/2006/relationships/hyperlink" Target="https://www.flightradar24.com/data/flights/sn3752" TargetMode="External"/><Relationship Id="rId326" Type="http://schemas.openxmlformats.org/officeDocument/2006/relationships/hyperlink" Target="https://www.flightradar24.com/data/flights/tb165" TargetMode="External"/><Relationship Id="rId533" Type="http://schemas.openxmlformats.org/officeDocument/2006/relationships/hyperlink" Target="https://www.flightradar24.com/data/airlines/u2-ezy" TargetMode="External"/><Relationship Id="rId978" Type="http://schemas.openxmlformats.org/officeDocument/2006/relationships/hyperlink" Target="https://www.flightradar24.com/data/aircraft/es-sab" TargetMode="External"/><Relationship Id="rId1163" Type="http://schemas.openxmlformats.org/officeDocument/2006/relationships/hyperlink" Target="https://www.flightradar24.com/data/aircraft/oe-ijr" TargetMode="External"/><Relationship Id="rId740" Type="http://schemas.openxmlformats.org/officeDocument/2006/relationships/hyperlink" Target="https://www.flightradar24.com/data/aircraft/yu-apm" TargetMode="External"/><Relationship Id="rId838" Type="http://schemas.openxmlformats.org/officeDocument/2006/relationships/hyperlink" Target="https://www.flightradar24.com/data/airports/osl" TargetMode="External"/><Relationship Id="rId1023" Type="http://schemas.openxmlformats.org/officeDocument/2006/relationships/hyperlink" Target="https://www.flightradar24.com/data/airports/opo" TargetMode="External"/><Relationship Id="rId172" Type="http://schemas.openxmlformats.org/officeDocument/2006/relationships/hyperlink" Target="https://www.flightradar24.com/data/aircraft/ei-sil" TargetMode="External"/><Relationship Id="rId477" Type="http://schemas.openxmlformats.org/officeDocument/2006/relationships/hyperlink" Target="https://www.flightradar24.com/data/airports/lin" TargetMode="External"/><Relationship Id="rId600" Type="http://schemas.openxmlformats.org/officeDocument/2006/relationships/hyperlink" Target="https://www.flightradar24.com/data/airlines/sn-bel" TargetMode="External"/><Relationship Id="rId684" Type="http://schemas.openxmlformats.org/officeDocument/2006/relationships/hyperlink" Target="https://www.flightradar24.com/data/airports/lin" TargetMode="External"/><Relationship Id="rId337" Type="http://schemas.openxmlformats.org/officeDocument/2006/relationships/hyperlink" Target="https://www.flightradar24.com/data/airlines/tk-thy" TargetMode="External"/><Relationship Id="rId891" Type="http://schemas.openxmlformats.org/officeDocument/2006/relationships/hyperlink" Target="https://www.flightradar24.com/data/aircraft/cs-tto" TargetMode="External"/><Relationship Id="rId905" Type="http://schemas.openxmlformats.org/officeDocument/2006/relationships/hyperlink" Target="https://www.flightradar24.com/data/aircraft/ec-ncm" TargetMode="External"/><Relationship Id="rId989" Type="http://schemas.openxmlformats.org/officeDocument/2006/relationships/hyperlink" Target="https://www.flightradar24.com/data/airports/muc" TargetMode="External"/><Relationship Id="rId34" Type="http://schemas.openxmlformats.org/officeDocument/2006/relationships/hyperlink" Target="https://www.flightradar24.com/data/airlines/u2-ezy" TargetMode="External"/><Relationship Id="rId544" Type="http://schemas.openxmlformats.org/officeDocument/2006/relationships/hyperlink" Target="https://www.flightradar24.com/data/aircraft/9h-qco" TargetMode="External"/><Relationship Id="rId751" Type="http://schemas.openxmlformats.org/officeDocument/2006/relationships/hyperlink" Target="https://www.flightradar24.com/data/airlines/sn-bel" TargetMode="External"/><Relationship Id="rId849" Type="http://schemas.openxmlformats.org/officeDocument/2006/relationships/hyperlink" Target="https://www.flightradar24.com/data/flights/sn2623" TargetMode="External"/><Relationship Id="rId1174" Type="http://schemas.openxmlformats.org/officeDocument/2006/relationships/hyperlink" Target="https://www.flightradar24.com/data/flights/" TargetMode="External"/><Relationship Id="rId183" Type="http://schemas.openxmlformats.org/officeDocument/2006/relationships/hyperlink" Target="https://www.flightradar24.com/data/flights/sn3148" TargetMode="External"/><Relationship Id="rId390" Type="http://schemas.openxmlformats.org/officeDocument/2006/relationships/hyperlink" Target="https://www.flightradar24.com/data/aircraft/ec-mkm" TargetMode="External"/><Relationship Id="rId404" Type="http://schemas.openxmlformats.org/officeDocument/2006/relationships/hyperlink" Target="https://www.flightradar24.com/data/flights/lo235" TargetMode="External"/><Relationship Id="rId611" Type="http://schemas.openxmlformats.org/officeDocument/2006/relationships/hyperlink" Target="https://www.flightradar24.com/data/flights/tb1411" TargetMode="External"/><Relationship Id="rId1034" Type="http://schemas.openxmlformats.org/officeDocument/2006/relationships/hyperlink" Target="https://www.flightradar24.com/data/aircraft/d-aile" TargetMode="External"/><Relationship Id="rId250" Type="http://schemas.openxmlformats.org/officeDocument/2006/relationships/hyperlink" Target="https://www.flightradar24.com/data/aircraft/d-aech" TargetMode="External"/><Relationship Id="rId488" Type="http://schemas.openxmlformats.org/officeDocument/2006/relationships/hyperlink" Target="https://www.flightradar24.com/data/aircraft/ei-hgg" TargetMode="External"/><Relationship Id="rId695" Type="http://schemas.openxmlformats.org/officeDocument/2006/relationships/hyperlink" Target="https://www.flightradar24.com/data/flights/sn2257" TargetMode="External"/><Relationship Id="rId709" Type="http://schemas.openxmlformats.org/officeDocument/2006/relationships/hyperlink" Target="https://www.flightradar24.com/data/airlines/ts-tsc" TargetMode="External"/><Relationship Id="rId916" Type="http://schemas.openxmlformats.org/officeDocument/2006/relationships/hyperlink" Target="https://www.flightradar24.com/data/airports/tun" TargetMode="External"/><Relationship Id="rId1101" Type="http://schemas.openxmlformats.org/officeDocument/2006/relationships/hyperlink" Target="https://www.flightradar24.com/data/airports/vie" TargetMode="External"/><Relationship Id="rId45" Type="http://schemas.openxmlformats.org/officeDocument/2006/relationships/hyperlink" Target="https://www.flightradar24.com/data/airlines/lh-dlh" TargetMode="External"/><Relationship Id="rId110" Type="http://schemas.openxmlformats.org/officeDocument/2006/relationships/hyperlink" Target="https://www.flightradar24.com/data/airlines/kl-klm" TargetMode="External"/><Relationship Id="rId348" Type="http://schemas.openxmlformats.org/officeDocument/2006/relationships/hyperlink" Target="https://www.flightradar24.com/data/aircraft/se-rol" TargetMode="External"/><Relationship Id="rId555" Type="http://schemas.openxmlformats.org/officeDocument/2006/relationships/hyperlink" Target="https://www.flightradar24.com/data/flights/xq932" TargetMode="External"/><Relationship Id="rId762" Type="http://schemas.openxmlformats.org/officeDocument/2006/relationships/hyperlink" Target="https://www.flightradar24.com/data/aircraft/ei-evs" TargetMode="External"/><Relationship Id="rId1185" Type="http://schemas.openxmlformats.org/officeDocument/2006/relationships/hyperlink" Target="https://www.flightradar24.com/data/airports/prn" TargetMode="External"/><Relationship Id="rId194" Type="http://schemas.openxmlformats.org/officeDocument/2006/relationships/hyperlink" Target="https://www.flightradar24.com/data/aircraft/d-airz" TargetMode="External"/><Relationship Id="rId208" Type="http://schemas.openxmlformats.org/officeDocument/2006/relationships/hyperlink" Target="https://www.flightradar24.com/data/airports/prg" TargetMode="External"/><Relationship Id="rId415" Type="http://schemas.openxmlformats.org/officeDocument/2006/relationships/hyperlink" Target="https://www.flightradar24.com/data/airlines/os-aua" TargetMode="External"/><Relationship Id="rId622" Type="http://schemas.openxmlformats.org/officeDocument/2006/relationships/hyperlink" Target="https://www.flightradar24.com/data/aircraft/d-aeaj" TargetMode="External"/><Relationship Id="rId1045" Type="http://schemas.openxmlformats.org/officeDocument/2006/relationships/hyperlink" Target="https://www.flightradar24.com/data/airports/alg" TargetMode="External"/><Relationship Id="rId261" Type="http://schemas.openxmlformats.org/officeDocument/2006/relationships/hyperlink" Target="https://www.flightradar24.com/data/aircraft/yr-sun" TargetMode="External"/><Relationship Id="rId499" Type="http://schemas.openxmlformats.org/officeDocument/2006/relationships/hyperlink" Target="https://www.flightradar24.com/data/airlines/sn-bel" TargetMode="External"/><Relationship Id="rId927" Type="http://schemas.openxmlformats.org/officeDocument/2006/relationships/hyperlink" Target="https://www.flightradar24.com/data/flights/3o138" TargetMode="External"/><Relationship Id="rId1112" Type="http://schemas.openxmlformats.org/officeDocument/2006/relationships/hyperlink" Target="https://www.flightradar24.com/data/airports/got" TargetMode="External"/><Relationship Id="rId56" Type="http://schemas.openxmlformats.org/officeDocument/2006/relationships/hyperlink" Target="https://www.flightradar24.com/data/airports/cph" TargetMode="External"/><Relationship Id="rId359" Type="http://schemas.openxmlformats.org/officeDocument/2006/relationships/hyperlink" Target="https://www.flightradar24.com/data/airports/agp" TargetMode="External"/><Relationship Id="rId566" Type="http://schemas.openxmlformats.org/officeDocument/2006/relationships/hyperlink" Target="https://www.flightradar24.com/data/airports/ord" TargetMode="External"/><Relationship Id="rId773" Type="http://schemas.openxmlformats.org/officeDocument/2006/relationships/hyperlink" Target="https://www.flightradar24.com/data/aircraft/ec-mkm" TargetMode="External"/><Relationship Id="rId1196" Type="http://schemas.openxmlformats.org/officeDocument/2006/relationships/hyperlink" Target="https://www.flightradar24.com/data/airports/cmn" TargetMode="External"/><Relationship Id="rId121" Type="http://schemas.openxmlformats.org/officeDocument/2006/relationships/hyperlink" Target="https://www.flightradar24.com/data/airlines/xc-cai" TargetMode="External"/><Relationship Id="rId219" Type="http://schemas.openxmlformats.org/officeDocument/2006/relationships/hyperlink" Target="https://www.flightradar24.com/data/flights/sn3588" TargetMode="External"/><Relationship Id="rId426" Type="http://schemas.openxmlformats.org/officeDocument/2006/relationships/hyperlink" Target="https://www.flightradar24.com/data/aircraft/ei-evh" TargetMode="External"/><Relationship Id="rId633" Type="http://schemas.openxmlformats.org/officeDocument/2006/relationships/hyperlink" Target="https://www.flightradar24.com/data/airlines/fr-ryr" TargetMode="External"/><Relationship Id="rId980" Type="http://schemas.openxmlformats.org/officeDocument/2006/relationships/hyperlink" Target="https://www.flightradar24.com/data/airlines/fi-ice" TargetMode="External"/><Relationship Id="rId1056" Type="http://schemas.openxmlformats.org/officeDocument/2006/relationships/hyperlink" Target="https://www.flightradar24.com/data/airlines/kl-klm" TargetMode="External"/><Relationship Id="rId840" Type="http://schemas.openxmlformats.org/officeDocument/2006/relationships/hyperlink" Target="https://www.flightradar24.com/data/aircraft/se-rol" TargetMode="External"/><Relationship Id="rId938" Type="http://schemas.openxmlformats.org/officeDocument/2006/relationships/hyperlink" Target="https://www.flightradar24.com/data/aircraft/cn-nmi" TargetMode="External"/><Relationship Id="rId67" Type="http://schemas.openxmlformats.org/officeDocument/2006/relationships/hyperlink" Target="https://www.flightradar24.com/data/aircraft/oo-ssw" TargetMode="External"/><Relationship Id="rId272" Type="http://schemas.openxmlformats.org/officeDocument/2006/relationships/hyperlink" Target="https://www.flightradar24.com/data/airlines/x3-tui" TargetMode="External"/><Relationship Id="rId577" Type="http://schemas.openxmlformats.org/officeDocument/2006/relationships/hyperlink" Target="https://www.flightradar24.com/data/airlines/sn-bel" TargetMode="External"/><Relationship Id="rId700" Type="http://schemas.openxmlformats.org/officeDocument/2006/relationships/hyperlink" Target="https://www.flightradar24.com/data/airports/prg" TargetMode="External"/><Relationship Id="rId1123" Type="http://schemas.openxmlformats.org/officeDocument/2006/relationships/hyperlink" Target="https://www.flightradar24.com/data/airports/cph" TargetMode="External"/><Relationship Id="rId132" Type="http://schemas.openxmlformats.org/officeDocument/2006/relationships/hyperlink" Target="https://www.flightradar24.com/data/airlines/sn-bel" TargetMode="External"/><Relationship Id="rId784" Type="http://schemas.openxmlformats.org/officeDocument/2006/relationships/hyperlink" Target="https://www.flightradar24.com/data/airlines/ua-ual" TargetMode="External"/><Relationship Id="rId991" Type="http://schemas.openxmlformats.org/officeDocument/2006/relationships/hyperlink" Target="https://www.flightradar24.com/data/aircraft/oo-sss" TargetMode="External"/><Relationship Id="rId1067" Type="http://schemas.openxmlformats.org/officeDocument/2006/relationships/hyperlink" Target="https://www.flightradar24.com/data/airlines/-vjt" TargetMode="External"/><Relationship Id="rId437" Type="http://schemas.openxmlformats.org/officeDocument/2006/relationships/hyperlink" Target="https://www.flightradar24.com/data/airlines/sn-bel" TargetMode="External"/><Relationship Id="rId644" Type="http://schemas.openxmlformats.org/officeDocument/2006/relationships/hyperlink" Target="https://www.flightradar24.com/data/airports/fra" TargetMode="External"/><Relationship Id="rId851" Type="http://schemas.openxmlformats.org/officeDocument/2006/relationships/hyperlink" Target="https://www.flightradar24.com/data/airlines/sn-bel" TargetMode="External"/><Relationship Id="rId283" Type="http://schemas.openxmlformats.org/officeDocument/2006/relationships/hyperlink" Target="https://www.flightradar24.com/data/aircraft/yl-ldj" TargetMode="External"/><Relationship Id="rId490" Type="http://schemas.openxmlformats.org/officeDocument/2006/relationships/hyperlink" Target="https://www.flightradar24.com/data/airports/mad" TargetMode="External"/><Relationship Id="rId504" Type="http://schemas.openxmlformats.org/officeDocument/2006/relationships/hyperlink" Target="https://www.flightradar24.com/data/aircraft/hb-jcf" TargetMode="External"/><Relationship Id="rId711" Type="http://schemas.openxmlformats.org/officeDocument/2006/relationships/hyperlink" Target="https://www.flightradar24.com/data/flights/ac827" TargetMode="External"/><Relationship Id="rId949" Type="http://schemas.openxmlformats.org/officeDocument/2006/relationships/hyperlink" Target="https://www.flightradar24.com/data/aircraft/9h-vvl" TargetMode="External"/><Relationship Id="rId1134" Type="http://schemas.openxmlformats.org/officeDocument/2006/relationships/hyperlink" Target="https://www.flightradar24.com/data/airports/agp" TargetMode="External"/><Relationship Id="rId78" Type="http://schemas.openxmlformats.org/officeDocument/2006/relationships/hyperlink" Target="https://www.flightradar24.com/data/aircraft/a7-bdd" TargetMode="External"/><Relationship Id="rId143" Type="http://schemas.openxmlformats.org/officeDocument/2006/relationships/hyperlink" Target="https://www.flightradar24.com/data/airlines/sn-bel" TargetMode="External"/><Relationship Id="rId350" Type="http://schemas.openxmlformats.org/officeDocument/2006/relationships/hyperlink" Target="https://www.flightradar24.com/data/airports/osl" TargetMode="External"/><Relationship Id="rId588" Type="http://schemas.openxmlformats.org/officeDocument/2006/relationships/hyperlink" Target="https://www.flightradar24.com/data/airlines/sn-bel" TargetMode="External"/><Relationship Id="rId795" Type="http://schemas.openxmlformats.org/officeDocument/2006/relationships/hyperlink" Target="https://www.flightradar24.com/data/airlines/kl-klm" TargetMode="External"/><Relationship Id="rId809" Type="http://schemas.openxmlformats.org/officeDocument/2006/relationships/hyperlink" Target="https://www.flightradar24.com/data/flights/sn501" TargetMode="External"/><Relationship Id="rId1201" Type="http://schemas.openxmlformats.org/officeDocument/2006/relationships/hyperlink" Target="https://www.flightradar24.com/data/aircraft/oo-ssy" TargetMode="External"/><Relationship Id="rId9" Type="http://schemas.openxmlformats.org/officeDocument/2006/relationships/hyperlink" Target="https://www.flightradar24.com/data/airports/fez" TargetMode="External"/><Relationship Id="rId210" Type="http://schemas.openxmlformats.org/officeDocument/2006/relationships/hyperlink" Target="https://www.flightradar24.com/data/aircraft/a6-eqj" TargetMode="External"/><Relationship Id="rId448" Type="http://schemas.openxmlformats.org/officeDocument/2006/relationships/hyperlink" Target="https://www.flightradar24.com/data/aircraft/n1201p" TargetMode="External"/><Relationship Id="rId655" Type="http://schemas.openxmlformats.org/officeDocument/2006/relationships/hyperlink" Target="https://www.flightradar24.com/data/flights/sn3139" TargetMode="External"/><Relationship Id="rId862" Type="http://schemas.openxmlformats.org/officeDocument/2006/relationships/hyperlink" Target="https://www.flightradar24.com/data/airports/lhr" TargetMode="External"/><Relationship Id="rId1078" Type="http://schemas.openxmlformats.org/officeDocument/2006/relationships/hyperlink" Target="https://www.flightradar24.com/data/airlines/fr-ryr" TargetMode="External"/><Relationship Id="rId294" Type="http://schemas.openxmlformats.org/officeDocument/2006/relationships/hyperlink" Target="https://www.flightradar24.com/data/flights/sn3772" TargetMode="External"/><Relationship Id="rId308" Type="http://schemas.openxmlformats.org/officeDocument/2006/relationships/hyperlink" Target="https://www.flightradar24.com/data/airports/rba" TargetMode="External"/><Relationship Id="rId515" Type="http://schemas.openxmlformats.org/officeDocument/2006/relationships/hyperlink" Target="https://www.flightradar24.com/data/flights/lh1004" TargetMode="External"/><Relationship Id="rId722" Type="http://schemas.openxmlformats.org/officeDocument/2006/relationships/hyperlink" Target="https://www.flightradar24.com/data/aircraft/oo-snm" TargetMode="External"/><Relationship Id="rId1145" Type="http://schemas.openxmlformats.org/officeDocument/2006/relationships/hyperlink" Target="https://www.flightradar24.com/data/airlines/lh-dlh" TargetMode="External"/><Relationship Id="rId89" Type="http://schemas.openxmlformats.org/officeDocument/2006/relationships/hyperlink" Target="https://www.flightradar24.com/data/aircraft/ei-eby" TargetMode="External"/><Relationship Id="rId154" Type="http://schemas.openxmlformats.org/officeDocument/2006/relationships/hyperlink" Target="https://www.flightradar24.com/data/airlines/lh-dlh" TargetMode="External"/><Relationship Id="rId361" Type="http://schemas.openxmlformats.org/officeDocument/2006/relationships/hyperlink" Target="https://www.flightradar24.com/data/airlines/ba-baw" TargetMode="External"/><Relationship Id="rId599" Type="http://schemas.openxmlformats.org/officeDocument/2006/relationships/hyperlink" Target="https://www.flightradar24.com/data/aircraft/oo-sne" TargetMode="External"/><Relationship Id="rId1005" Type="http://schemas.openxmlformats.org/officeDocument/2006/relationships/hyperlink" Target="https://www.flightradar24.com/data/aircraft/oo-ssv" TargetMode="External"/><Relationship Id="rId1212" Type="http://schemas.openxmlformats.org/officeDocument/2006/relationships/hyperlink" Target="https://www.flightradar24.com/data/aircraft/lx-two" TargetMode="External"/><Relationship Id="rId459" Type="http://schemas.openxmlformats.org/officeDocument/2006/relationships/hyperlink" Target="https://www.flightradar24.com/data/airports/got" TargetMode="External"/><Relationship Id="rId666" Type="http://schemas.openxmlformats.org/officeDocument/2006/relationships/hyperlink" Target="https://www.flightradar24.com/data/aircraft/ei-hgg" TargetMode="External"/><Relationship Id="rId873" Type="http://schemas.openxmlformats.org/officeDocument/2006/relationships/hyperlink" Target="https://www.flightradar24.com/data/airports/fra" TargetMode="External"/><Relationship Id="rId1089" Type="http://schemas.openxmlformats.org/officeDocument/2006/relationships/hyperlink" Target="https://www.flightradar24.com/data/aircraft/oo-tuv" TargetMode="External"/><Relationship Id="rId16" Type="http://schemas.openxmlformats.org/officeDocument/2006/relationships/hyperlink" Target="https://www.flightradar24.com/data/airlines/-lrq" TargetMode="External"/><Relationship Id="rId221" Type="http://schemas.openxmlformats.org/officeDocument/2006/relationships/hyperlink" Target="https://www.flightradar24.com/data/airlines/sn-bel" TargetMode="External"/><Relationship Id="rId319" Type="http://schemas.openxmlformats.org/officeDocument/2006/relationships/hyperlink" Target="https://www.flightradar24.com/data/aircraft/ei-dhz" TargetMode="External"/><Relationship Id="rId526" Type="http://schemas.openxmlformats.org/officeDocument/2006/relationships/hyperlink" Target="https://www.flightradar24.com/data/airports/ewr" TargetMode="External"/><Relationship Id="rId1156" Type="http://schemas.openxmlformats.org/officeDocument/2006/relationships/hyperlink" Target="https://www.flightradar24.com/data/aircraft/oo-snl" TargetMode="External"/><Relationship Id="rId733" Type="http://schemas.openxmlformats.org/officeDocument/2006/relationships/hyperlink" Target="https://www.flightradar24.com/data/airlines/sn-bel" TargetMode="External"/><Relationship Id="rId940" Type="http://schemas.openxmlformats.org/officeDocument/2006/relationships/hyperlink" Target="https://www.flightradar24.com/data/airports/bcn" TargetMode="External"/><Relationship Id="rId1016" Type="http://schemas.openxmlformats.org/officeDocument/2006/relationships/hyperlink" Target="https://www.flightradar24.com/data/aircraft/n17128" TargetMode="External"/><Relationship Id="rId165" Type="http://schemas.openxmlformats.org/officeDocument/2006/relationships/hyperlink" Target="https://www.flightradar24.com/data/airlines/x3-tui" TargetMode="External"/><Relationship Id="rId372" Type="http://schemas.openxmlformats.org/officeDocument/2006/relationships/hyperlink" Target="https://www.flightradar24.com/data/airports/cph" TargetMode="External"/><Relationship Id="rId677" Type="http://schemas.openxmlformats.org/officeDocument/2006/relationships/hyperlink" Target="https://www.flightradar24.com/data/airlines/sn-bel" TargetMode="External"/><Relationship Id="rId800" Type="http://schemas.openxmlformats.org/officeDocument/2006/relationships/hyperlink" Target="https://www.flightradar24.com/data/aircraft/oo-sfx" TargetMode="External"/><Relationship Id="rId232" Type="http://schemas.openxmlformats.org/officeDocument/2006/relationships/hyperlink" Target="https://www.flightradar24.com/data/airlines/6y-art" TargetMode="External"/><Relationship Id="rId884" Type="http://schemas.openxmlformats.org/officeDocument/2006/relationships/hyperlink" Target="https://www.flightradar24.com/data/airlines/hu-chh" TargetMode="External"/><Relationship Id="rId27" Type="http://schemas.openxmlformats.org/officeDocument/2006/relationships/hyperlink" Target="https://www.flightradar24.com/data/airlines/6y-art" TargetMode="External"/><Relationship Id="rId537" Type="http://schemas.openxmlformats.org/officeDocument/2006/relationships/hyperlink" Target="https://www.flightradar24.com/data/airlines/sn-bel" TargetMode="External"/><Relationship Id="rId744" Type="http://schemas.openxmlformats.org/officeDocument/2006/relationships/hyperlink" Target="https://www.flightradar24.com/data/airports/zrh" TargetMode="External"/><Relationship Id="rId951" Type="http://schemas.openxmlformats.org/officeDocument/2006/relationships/hyperlink" Target="https://www.flightradar24.com/data/airports/fnc" TargetMode="External"/><Relationship Id="rId1167" Type="http://schemas.openxmlformats.org/officeDocument/2006/relationships/hyperlink" Target="https://www.flightradar24.com/data/airports/lis" TargetMode="External"/><Relationship Id="rId80" Type="http://schemas.openxmlformats.org/officeDocument/2006/relationships/hyperlink" Target="https://www.flightradar24.com/data/airports/doh" TargetMode="External"/><Relationship Id="rId176" Type="http://schemas.openxmlformats.org/officeDocument/2006/relationships/hyperlink" Target="https://www.flightradar24.com/data/aircraft/ph-hxm" TargetMode="External"/><Relationship Id="rId383" Type="http://schemas.openxmlformats.org/officeDocument/2006/relationships/hyperlink" Target="https://www.flightradar24.com/data/airlines/ei-ein" TargetMode="External"/><Relationship Id="rId590" Type="http://schemas.openxmlformats.org/officeDocument/2006/relationships/hyperlink" Target="https://www.flightradar24.com/data/flights/sn379" TargetMode="External"/><Relationship Id="rId604" Type="http://schemas.openxmlformats.org/officeDocument/2006/relationships/hyperlink" Target="https://www.flightradar24.com/data/airlines/fh-fhy" TargetMode="External"/><Relationship Id="rId811" Type="http://schemas.openxmlformats.org/officeDocument/2006/relationships/hyperlink" Target="https://www.flightradar24.com/data/airlines/sn-bel" TargetMode="External"/><Relationship Id="rId1027" Type="http://schemas.openxmlformats.org/officeDocument/2006/relationships/hyperlink" Target="https://www.flightradar24.com/data/airlines/tk-thy" TargetMode="External"/><Relationship Id="rId243" Type="http://schemas.openxmlformats.org/officeDocument/2006/relationships/hyperlink" Target="https://www.flightradar24.com/data/airlines/fr-ryr" TargetMode="External"/><Relationship Id="rId450" Type="http://schemas.openxmlformats.org/officeDocument/2006/relationships/hyperlink" Target="https://www.flightradar24.com/data/airports/jfk" TargetMode="External"/><Relationship Id="rId688" Type="http://schemas.openxmlformats.org/officeDocument/2006/relationships/hyperlink" Target="https://www.flightradar24.com/data/airports/dub" TargetMode="External"/><Relationship Id="rId895" Type="http://schemas.openxmlformats.org/officeDocument/2006/relationships/hyperlink" Target="https://www.flightradar24.com/data/aircraft/oo-sba" TargetMode="External"/><Relationship Id="rId909" Type="http://schemas.openxmlformats.org/officeDocument/2006/relationships/hyperlink" Target="https://www.flightradar24.com/data/airports/dss" TargetMode="External"/><Relationship Id="rId1080" Type="http://schemas.openxmlformats.org/officeDocument/2006/relationships/hyperlink" Target="https://www.flightradar24.com/data/airports/osl" TargetMode="External"/><Relationship Id="rId38" Type="http://schemas.openxmlformats.org/officeDocument/2006/relationships/hyperlink" Target="https://www.flightradar24.com/data/airlines/xq-sxs" TargetMode="External"/><Relationship Id="rId103" Type="http://schemas.openxmlformats.org/officeDocument/2006/relationships/hyperlink" Target="https://www.flightradar24.com/data/airports/rho" TargetMode="External"/><Relationship Id="rId310" Type="http://schemas.openxmlformats.org/officeDocument/2006/relationships/hyperlink" Target="https://www.flightradar24.com/data/aircraft/oo-sba" TargetMode="External"/><Relationship Id="rId548" Type="http://schemas.openxmlformats.org/officeDocument/2006/relationships/hyperlink" Target="https://www.flightradar24.com/data/aircraft/n2747u" TargetMode="External"/><Relationship Id="rId755" Type="http://schemas.openxmlformats.org/officeDocument/2006/relationships/hyperlink" Target="https://www.flightradar24.com/data/aircraft/oo-ssw" TargetMode="External"/><Relationship Id="rId962" Type="http://schemas.openxmlformats.org/officeDocument/2006/relationships/hyperlink" Target="https://www.flightradar24.com/data/airlines/sn-bel" TargetMode="External"/><Relationship Id="rId1178" Type="http://schemas.openxmlformats.org/officeDocument/2006/relationships/hyperlink" Target="https://www.flightradar24.com/data/airports/adb" TargetMode="External"/><Relationship Id="rId91" Type="http://schemas.openxmlformats.org/officeDocument/2006/relationships/hyperlink" Target="https://www.flightradar24.com/data/airports/dub" TargetMode="External"/><Relationship Id="rId187" Type="http://schemas.openxmlformats.org/officeDocument/2006/relationships/hyperlink" Target="https://www.flightradar24.com/data/aircraft/oo-ssa" TargetMode="External"/><Relationship Id="rId394" Type="http://schemas.openxmlformats.org/officeDocument/2006/relationships/hyperlink" Target="https://www.flightradar24.com/data/aircraft/oo-snq" TargetMode="External"/><Relationship Id="rId408" Type="http://schemas.openxmlformats.org/officeDocument/2006/relationships/hyperlink" Target="https://www.flightradar24.com/data/aircraft/yr-dse" TargetMode="External"/><Relationship Id="rId615" Type="http://schemas.openxmlformats.org/officeDocument/2006/relationships/hyperlink" Target="https://www.flightradar24.com/data/flights/fh8013" TargetMode="External"/><Relationship Id="rId822" Type="http://schemas.openxmlformats.org/officeDocument/2006/relationships/hyperlink" Target="https://www.flightradar24.com/data/airports/mad" TargetMode="External"/><Relationship Id="rId1038" Type="http://schemas.openxmlformats.org/officeDocument/2006/relationships/hyperlink" Target="https://www.flightradar24.com/data/airports/fco" TargetMode="External"/><Relationship Id="rId254" Type="http://schemas.openxmlformats.org/officeDocument/2006/relationships/hyperlink" Target="https://www.flightradar24.com/data/airlines/fr-ryr" TargetMode="External"/><Relationship Id="rId699" Type="http://schemas.openxmlformats.org/officeDocument/2006/relationships/hyperlink" Target="https://www.flightradar24.com/data/flights/sn2809" TargetMode="External"/><Relationship Id="rId1091" Type="http://schemas.openxmlformats.org/officeDocument/2006/relationships/hyperlink" Target="https://www.flightradar24.com/data/airports/tia" TargetMode="External"/><Relationship Id="rId1105" Type="http://schemas.openxmlformats.org/officeDocument/2006/relationships/hyperlink" Target="https://www.flightradar24.com/data/airports/mjt" TargetMode="External"/><Relationship Id="rId49" Type="http://schemas.openxmlformats.org/officeDocument/2006/relationships/hyperlink" Target="https://www.flightradar24.com/data/airports/lis" TargetMode="External"/><Relationship Id="rId114" Type="http://schemas.openxmlformats.org/officeDocument/2006/relationships/hyperlink" Target="https://www.flightradar24.com/data/airports/her" TargetMode="External"/><Relationship Id="rId461" Type="http://schemas.openxmlformats.org/officeDocument/2006/relationships/hyperlink" Target="https://www.flightradar24.com/data/airlines/ou-ctn" TargetMode="External"/><Relationship Id="rId559" Type="http://schemas.openxmlformats.org/officeDocument/2006/relationships/hyperlink" Target="https://www.flightradar24.com/data/flights/k4645" TargetMode="External"/><Relationship Id="rId766" Type="http://schemas.openxmlformats.org/officeDocument/2006/relationships/hyperlink" Target="https://www.flightradar24.com/data/flights/ac833" TargetMode="External"/><Relationship Id="rId1189" Type="http://schemas.openxmlformats.org/officeDocument/2006/relationships/hyperlink" Target="https://www.flightradar24.com/data/airports/tun" TargetMode="External"/><Relationship Id="rId198" Type="http://schemas.openxmlformats.org/officeDocument/2006/relationships/hyperlink" Target="https://www.flightradar24.com/data/aircraft/ln-wec" TargetMode="External"/><Relationship Id="rId321" Type="http://schemas.openxmlformats.org/officeDocument/2006/relationships/hyperlink" Target="https://www.flightradar24.com/data/airports/agp" TargetMode="External"/><Relationship Id="rId419" Type="http://schemas.openxmlformats.org/officeDocument/2006/relationships/hyperlink" Target="https://www.flightradar24.com/data/airports/tll" TargetMode="External"/><Relationship Id="rId626" Type="http://schemas.openxmlformats.org/officeDocument/2006/relationships/hyperlink" Target="https://www.flightradar24.com/data/aircraft/d-almd" TargetMode="External"/><Relationship Id="rId973" Type="http://schemas.openxmlformats.org/officeDocument/2006/relationships/hyperlink" Target="https://www.flightradar24.com/data/airlines/x3-tui" TargetMode="External"/><Relationship Id="rId1049" Type="http://schemas.openxmlformats.org/officeDocument/2006/relationships/hyperlink" Target="https://www.flightradar24.com/data/airlines/lx-swr" TargetMode="External"/><Relationship Id="rId833" Type="http://schemas.openxmlformats.org/officeDocument/2006/relationships/hyperlink" Target="https://www.flightradar24.com/data/flights/ey58" TargetMode="External"/><Relationship Id="rId1116" Type="http://schemas.openxmlformats.org/officeDocument/2006/relationships/hyperlink" Target="https://www.flightradar24.com/data/airports/bjv" TargetMode="External"/><Relationship Id="rId265" Type="http://schemas.openxmlformats.org/officeDocument/2006/relationships/hyperlink" Target="https://www.flightradar24.com/data/airlines/x3-tui" TargetMode="External"/><Relationship Id="rId472" Type="http://schemas.openxmlformats.org/officeDocument/2006/relationships/hyperlink" Target="https://www.flightradar24.com/data/aircraft/oo-ssl" TargetMode="External"/><Relationship Id="rId900" Type="http://schemas.openxmlformats.org/officeDocument/2006/relationships/hyperlink" Target="https://www.flightradar24.com/data/airports/iad" TargetMode="External"/><Relationship Id="rId125" Type="http://schemas.openxmlformats.org/officeDocument/2006/relationships/hyperlink" Target="https://www.flightradar24.com/data/airlines/vy-vlg" TargetMode="External"/><Relationship Id="rId332" Type="http://schemas.openxmlformats.org/officeDocument/2006/relationships/hyperlink" Target="https://www.flightradar24.com/data/airports/fco" TargetMode="External"/><Relationship Id="rId777" Type="http://schemas.openxmlformats.org/officeDocument/2006/relationships/hyperlink" Target="https://www.flightradar24.com/data/aircraft/yr-dse" TargetMode="External"/><Relationship Id="rId984" Type="http://schemas.openxmlformats.org/officeDocument/2006/relationships/hyperlink" Target="https://www.flightradar24.com/data/airlines/sn-bel" TargetMode="External"/><Relationship Id="rId637" Type="http://schemas.openxmlformats.org/officeDocument/2006/relationships/hyperlink" Target="https://www.flightradar24.com/data/airlines/u2-ezy" TargetMode="External"/><Relationship Id="rId844" Type="http://schemas.openxmlformats.org/officeDocument/2006/relationships/hyperlink" Target="https://www.flightradar24.com/data/aircraft/oo-ssn" TargetMode="External"/><Relationship Id="rId276" Type="http://schemas.openxmlformats.org/officeDocument/2006/relationships/hyperlink" Target="https://www.flightradar24.com/data/airlines/g9-aby" TargetMode="External"/><Relationship Id="rId483" Type="http://schemas.openxmlformats.org/officeDocument/2006/relationships/hyperlink" Target="https://www.flightradar24.com/data/airlines/sn-bel" TargetMode="External"/><Relationship Id="rId690" Type="http://schemas.openxmlformats.org/officeDocument/2006/relationships/hyperlink" Target="https://www.flightradar24.com/data/aircraft/ei-evh" TargetMode="External"/><Relationship Id="rId704" Type="http://schemas.openxmlformats.org/officeDocument/2006/relationships/hyperlink" Target="https://www.flightradar24.com/data/airports/vce" TargetMode="External"/><Relationship Id="rId911" Type="http://schemas.openxmlformats.org/officeDocument/2006/relationships/hyperlink" Target="https://www.flightradar24.com/data/aircraft/oo-sfj" TargetMode="External"/><Relationship Id="rId1127" Type="http://schemas.openxmlformats.org/officeDocument/2006/relationships/hyperlink" Target="https://www.flightradar24.com/data/airports/alg" TargetMode="External"/><Relationship Id="rId40" Type="http://schemas.openxmlformats.org/officeDocument/2006/relationships/hyperlink" Target="https://www.flightradar24.com/data/flights/xq4" TargetMode="External"/><Relationship Id="rId136" Type="http://schemas.openxmlformats.org/officeDocument/2006/relationships/hyperlink" Target="https://www.flightradar24.com/data/airlines/lx-swr" TargetMode="External"/><Relationship Id="rId343" Type="http://schemas.openxmlformats.org/officeDocument/2006/relationships/hyperlink" Target="https://www.flightradar24.com/data/airlines/a3-aee" TargetMode="External"/><Relationship Id="rId550" Type="http://schemas.openxmlformats.org/officeDocument/2006/relationships/hyperlink" Target="https://www.flightradar24.com/data/airports/iad" TargetMode="External"/><Relationship Id="rId788" Type="http://schemas.openxmlformats.org/officeDocument/2006/relationships/hyperlink" Target="https://www.flightradar24.com/data/aircraft/d-cawo" TargetMode="External"/><Relationship Id="rId995" Type="http://schemas.openxmlformats.org/officeDocument/2006/relationships/hyperlink" Target="https://www.flightradar24.com/data/aircraft/sx-chg" TargetMode="External"/><Relationship Id="rId1180" Type="http://schemas.openxmlformats.org/officeDocument/2006/relationships/hyperlink" Target="https://www.flightradar24.com/data/aircraft/tc-spa" TargetMode="External"/><Relationship Id="rId203" Type="http://schemas.openxmlformats.org/officeDocument/2006/relationships/hyperlink" Target="https://www.flightradar24.com/data/airlines/sn-bel" TargetMode="External"/><Relationship Id="rId648" Type="http://schemas.openxmlformats.org/officeDocument/2006/relationships/hyperlink" Target="https://www.flightradar24.com/data/airports/gva" TargetMode="External"/><Relationship Id="rId855" Type="http://schemas.openxmlformats.org/officeDocument/2006/relationships/hyperlink" Target="https://www.flightradar24.com/data/airlines/xq-sxs" TargetMode="External"/><Relationship Id="rId1040" Type="http://schemas.openxmlformats.org/officeDocument/2006/relationships/hyperlink" Target="https://www.flightradar24.com/data/aircraft/oo-tch" TargetMode="External"/><Relationship Id="rId287" Type="http://schemas.openxmlformats.org/officeDocument/2006/relationships/hyperlink" Target="https://www.flightradar24.com/data/aircraft/cn-nml" TargetMode="External"/><Relationship Id="rId410" Type="http://schemas.openxmlformats.org/officeDocument/2006/relationships/hyperlink" Target="https://www.flightradar24.com/data/airports/bcm" TargetMode="External"/><Relationship Id="rId494" Type="http://schemas.openxmlformats.org/officeDocument/2006/relationships/hyperlink" Target="https://www.flightradar24.com/data/airports/prg" TargetMode="External"/><Relationship Id="rId508" Type="http://schemas.openxmlformats.org/officeDocument/2006/relationships/hyperlink" Target="https://www.flightradar24.com/data/aircraft/b-1345" TargetMode="External"/><Relationship Id="rId715" Type="http://schemas.openxmlformats.org/officeDocument/2006/relationships/hyperlink" Target="https://www.flightradar24.com/data/flights/sn2547" TargetMode="External"/><Relationship Id="rId922" Type="http://schemas.openxmlformats.org/officeDocument/2006/relationships/hyperlink" Target="https://www.flightradar24.com/data/aircraft/cn-nmp" TargetMode="External"/><Relationship Id="rId1138" Type="http://schemas.openxmlformats.org/officeDocument/2006/relationships/hyperlink" Target="https://www.flightradar24.com/data/airlines/ms-msr" TargetMode="External"/><Relationship Id="rId147" Type="http://schemas.openxmlformats.org/officeDocument/2006/relationships/hyperlink" Target="https://www.flightradar24.com/data/airlines/os-aua" TargetMode="External"/><Relationship Id="rId354" Type="http://schemas.openxmlformats.org/officeDocument/2006/relationships/hyperlink" Target="https://www.flightradar24.com/data/aircraft/oo-ssb" TargetMode="External"/><Relationship Id="rId799" Type="http://schemas.openxmlformats.org/officeDocument/2006/relationships/hyperlink" Target="https://www.flightradar24.com/data/airlines/sn-bel" TargetMode="External"/><Relationship Id="rId1191" Type="http://schemas.openxmlformats.org/officeDocument/2006/relationships/hyperlink" Target="https://www.flightradar24.com/data/aircraft/ts-ino" TargetMode="External"/><Relationship Id="rId1205" Type="http://schemas.openxmlformats.org/officeDocument/2006/relationships/hyperlink" Target="https://www.flightradar24.com/data/flights/uni132" TargetMode="External"/><Relationship Id="rId51" Type="http://schemas.openxmlformats.org/officeDocument/2006/relationships/hyperlink" Target="https://www.flightradar24.com/data/airlines/sn-bel" TargetMode="External"/><Relationship Id="rId561" Type="http://schemas.openxmlformats.org/officeDocument/2006/relationships/hyperlink" Target="https://www.flightradar24.com/data/airlines/et-eth" TargetMode="External"/><Relationship Id="rId659" Type="http://schemas.openxmlformats.org/officeDocument/2006/relationships/hyperlink" Target="https://www.flightradar24.com/data/flights/et3713" TargetMode="External"/><Relationship Id="rId866" Type="http://schemas.openxmlformats.org/officeDocument/2006/relationships/hyperlink" Target="https://www.flightradar24.com/data/airports/agp" TargetMode="External"/><Relationship Id="rId214" Type="http://schemas.openxmlformats.org/officeDocument/2006/relationships/hyperlink" Target="https://www.flightradar24.com/data/airlines/sn-bel" TargetMode="External"/><Relationship Id="rId298" Type="http://schemas.openxmlformats.org/officeDocument/2006/relationships/hyperlink" Target="https://www.flightradar24.com/data/flights/3o113" TargetMode="External"/><Relationship Id="rId421" Type="http://schemas.openxmlformats.org/officeDocument/2006/relationships/hyperlink" Target="https://www.flightradar24.com/data/airlines/ua-ual" TargetMode="External"/><Relationship Id="rId519" Type="http://schemas.openxmlformats.org/officeDocument/2006/relationships/hyperlink" Target="https://www.flightradar24.com/data/flights/ts154" TargetMode="External"/><Relationship Id="rId1051" Type="http://schemas.openxmlformats.org/officeDocument/2006/relationships/hyperlink" Target="https://www.flightradar24.com/data/flights/tb2421" TargetMode="External"/><Relationship Id="rId1149" Type="http://schemas.openxmlformats.org/officeDocument/2006/relationships/hyperlink" Target="https://www.flightradar24.com/data/aircraft/oo-snf" TargetMode="External"/><Relationship Id="rId158" Type="http://schemas.openxmlformats.org/officeDocument/2006/relationships/hyperlink" Target="https://www.flightradar24.com/data/airports/tls" TargetMode="External"/><Relationship Id="rId726" Type="http://schemas.openxmlformats.org/officeDocument/2006/relationships/hyperlink" Target="https://www.flightradar24.com/data/airports/rix" TargetMode="External"/><Relationship Id="rId933" Type="http://schemas.openxmlformats.org/officeDocument/2006/relationships/hyperlink" Target="https://www.flightradar24.com/data/airlines/x3-tui" TargetMode="External"/><Relationship Id="rId1009" Type="http://schemas.openxmlformats.org/officeDocument/2006/relationships/hyperlink" Target="https://www.flightradar24.com/data/aircraft/oo-ssf" TargetMode="External"/><Relationship Id="rId62" Type="http://schemas.openxmlformats.org/officeDocument/2006/relationships/hyperlink" Target="https://www.flightradar24.com/data/airlines/ms-msr" TargetMode="External"/><Relationship Id="rId365" Type="http://schemas.openxmlformats.org/officeDocument/2006/relationships/hyperlink" Target="https://www.flightradar24.com/data/airports/esb" TargetMode="External"/><Relationship Id="rId572" Type="http://schemas.openxmlformats.org/officeDocument/2006/relationships/hyperlink" Target="https://www.flightradar24.com/data/aircraft/oo-sfe" TargetMode="External"/><Relationship Id="rId1216" Type="http://schemas.openxmlformats.org/officeDocument/2006/relationships/hyperlink" Target="https://www.flightradar24.com/data/aircraft/a6-eql" TargetMode="External"/><Relationship Id="rId225" Type="http://schemas.openxmlformats.org/officeDocument/2006/relationships/hyperlink" Target="https://www.flightradar24.com/data/airports/svq" TargetMode="External"/><Relationship Id="rId432" Type="http://schemas.openxmlformats.org/officeDocument/2006/relationships/hyperlink" Target="https://www.flightradar24.com/data/airports/rix" TargetMode="External"/><Relationship Id="rId877" Type="http://schemas.openxmlformats.org/officeDocument/2006/relationships/hyperlink" Target="https://www.flightradar24.com/data/airlines/tk-thy" TargetMode="External"/><Relationship Id="rId1062" Type="http://schemas.openxmlformats.org/officeDocument/2006/relationships/hyperlink" Target="https://www.flightradar24.com/data/airports/bud" TargetMode="External"/><Relationship Id="rId737" Type="http://schemas.openxmlformats.org/officeDocument/2006/relationships/hyperlink" Target="https://www.flightradar24.com/data/aircraft/ec-mkn" TargetMode="External"/><Relationship Id="rId944" Type="http://schemas.openxmlformats.org/officeDocument/2006/relationships/hyperlink" Target="https://www.flightradar24.com/data/airlines/lh-dlh" TargetMode="External"/><Relationship Id="rId73" Type="http://schemas.openxmlformats.org/officeDocument/2006/relationships/hyperlink" Target="https://www.flightradar24.com/data/airports/zrh" TargetMode="External"/><Relationship Id="rId169" Type="http://schemas.openxmlformats.org/officeDocument/2006/relationships/hyperlink" Target="https://www.flightradar24.com/data/airlines/sn-bel" TargetMode="External"/><Relationship Id="rId376" Type="http://schemas.openxmlformats.org/officeDocument/2006/relationships/hyperlink" Target="https://www.flightradar24.com/data/airports/mad" TargetMode="External"/><Relationship Id="rId583" Type="http://schemas.openxmlformats.org/officeDocument/2006/relationships/hyperlink" Target="https://www.flightradar24.com/data/aircraft/c-gefa" TargetMode="External"/><Relationship Id="rId790" Type="http://schemas.openxmlformats.org/officeDocument/2006/relationships/hyperlink" Target="https://www.flightradar24.com/data/airports/dub" TargetMode="External"/><Relationship Id="rId804" Type="http://schemas.openxmlformats.org/officeDocument/2006/relationships/hyperlink" Target="https://www.flightradar24.com/data/aircraft/oo-snp" TargetMode="External"/><Relationship Id="rId4" Type="http://schemas.openxmlformats.org/officeDocument/2006/relationships/hyperlink" Target="https://www.flightradar24.com/data/aircraft/tc-jtr" TargetMode="External"/><Relationship Id="rId236" Type="http://schemas.openxmlformats.org/officeDocument/2006/relationships/hyperlink" Target="https://www.flightradar24.com/data/airlines/sn-bel" TargetMode="External"/><Relationship Id="rId443" Type="http://schemas.openxmlformats.org/officeDocument/2006/relationships/hyperlink" Target="https://www.flightradar24.com/data/airlines/ju-asl" TargetMode="External"/><Relationship Id="rId650" Type="http://schemas.openxmlformats.org/officeDocument/2006/relationships/hyperlink" Target="https://www.flightradar24.com/data/aircraft/hb-jcf" TargetMode="External"/><Relationship Id="rId888" Type="http://schemas.openxmlformats.org/officeDocument/2006/relationships/hyperlink" Target="https://www.flightradar24.com/data/aircraft/ei-hxa" TargetMode="External"/><Relationship Id="rId1073" Type="http://schemas.openxmlformats.org/officeDocument/2006/relationships/hyperlink" Target="https://www.flightradar24.com/data/airports/dxb" TargetMode="External"/><Relationship Id="rId303" Type="http://schemas.openxmlformats.org/officeDocument/2006/relationships/hyperlink" Target="https://www.flightradar24.com/data/aircraft/ec-ncm" TargetMode="External"/><Relationship Id="rId748" Type="http://schemas.openxmlformats.org/officeDocument/2006/relationships/hyperlink" Target="https://www.flightradar24.com/data/airlines/os-aua" TargetMode="External"/><Relationship Id="rId955" Type="http://schemas.openxmlformats.org/officeDocument/2006/relationships/hyperlink" Target="https://www.flightradar24.com/data/airports/str" TargetMode="External"/><Relationship Id="rId1140" Type="http://schemas.openxmlformats.org/officeDocument/2006/relationships/hyperlink" Target="https://www.flightradar24.com/data/flights/sn3737" TargetMode="External"/><Relationship Id="rId84" Type="http://schemas.openxmlformats.org/officeDocument/2006/relationships/hyperlink" Target="https://www.flightradar24.com/data/flights/sn3722" TargetMode="External"/><Relationship Id="rId387" Type="http://schemas.openxmlformats.org/officeDocument/2006/relationships/hyperlink" Target="https://www.flightradar24.com/data/airlines/kl-klm" TargetMode="External"/><Relationship Id="rId510" Type="http://schemas.openxmlformats.org/officeDocument/2006/relationships/hyperlink" Target="https://www.flightradar24.com/data/airports/szx" TargetMode="External"/><Relationship Id="rId594" Type="http://schemas.openxmlformats.org/officeDocument/2006/relationships/hyperlink" Target="https://www.flightradar24.com/data/flights/qy120" TargetMode="External"/><Relationship Id="rId608" Type="http://schemas.openxmlformats.org/officeDocument/2006/relationships/hyperlink" Target="https://www.flightradar24.com/data/airlines/x3-tui" TargetMode="External"/><Relationship Id="rId815" Type="http://schemas.openxmlformats.org/officeDocument/2006/relationships/hyperlink" Target="https://www.flightradar24.com/data/airlines/dl-dal" TargetMode="External"/><Relationship Id="rId247" Type="http://schemas.openxmlformats.org/officeDocument/2006/relationships/hyperlink" Target="https://www.flightradar24.com/data/airlines/sn-bel" TargetMode="External"/><Relationship Id="rId899" Type="http://schemas.openxmlformats.org/officeDocument/2006/relationships/hyperlink" Target="https://www.flightradar24.com/data/aircraft/cn-nmt" TargetMode="External"/><Relationship Id="rId1000" Type="http://schemas.openxmlformats.org/officeDocument/2006/relationships/hyperlink" Target="https://www.flightradar24.com/data/airports/bgo" TargetMode="External"/><Relationship Id="rId1084" Type="http://schemas.openxmlformats.org/officeDocument/2006/relationships/hyperlink" Target="https://www.flightradar24.com/data/airlines/sn-bel" TargetMode="External"/><Relationship Id="rId107" Type="http://schemas.openxmlformats.org/officeDocument/2006/relationships/hyperlink" Target="https://www.flightradar24.com/data/airports/kgs" TargetMode="External"/><Relationship Id="rId454" Type="http://schemas.openxmlformats.org/officeDocument/2006/relationships/hyperlink" Target="https://www.flightradar24.com/data/aircraft/oo-snp" TargetMode="External"/><Relationship Id="rId661" Type="http://schemas.openxmlformats.org/officeDocument/2006/relationships/hyperlink" Target="https://www.flightradar24.com/data/airlines/et-eth" TargetMode="External"/><Relationship Id="rId759" Type="http://schemas.openxmlformats.org/officeDocument/2006/relationships/hyperlink" Target="https://www.flightradar24.com/data/flights/fr2928" TargetMode="External"/><Relationship Id="rId966" Type="http://schemas.openxmlformats.org/officeDocument/2006/relationships/hyperlink" Target="https://www.flightradar24.com/data/airlines/hu-chh" TargetMode="External"/><Relationship Id="rId11" Type="http://schemas.openxmlformats.org/officeDocument/2006/relationships/hyperlink" Target="https://www.flightradar24.com/data/aircraft/cn-rgw" TargetMode="External"/><Relationship Id="rId314" Type="http://schemas.openxmlformats.org/officeDocument/2006/relationships/hyperlink" Target="https://www.flightradar24.com/data/airlines/tp-tap" TargetMode="External"/><Relationship Id="rId398" Type="http://schemas.openxmlformats.org/officeDocument/2006/relationships/hyperlink" Target="https://www.flightradar24.com/data/airlines/fr-ryr" TargetMode="External"/><Relationship Id="rId521" Type="http://schemas.openxmlformats.org/officeDocument/2006/relationships/hyperlink" Target="https://www.flightradar24.com/data/airlines/sn-bel" TargetMode="External"/><Relationship Id="rId619" Type="http://schemas.openxmlformats.org/officeDocument/2006/relationships/hyperlink" Target="https://www.flightradar24.com/data/flights/qy851" TargetMode="External"/><Relationship Id="rId1151" Type="http://schemas.openxmlformats.org/officeDocument/2006/relationships/hyperlink" Target="https://www.flightradar24.com/data/airlines/sn-bel" TargetMode="External"/><Relationship Id="rId95" Type="http://schemas.openxmlformats.org/officeDocument/2006/relationships/hyperlink" Target="https://www.flightradar24.com/data/airports/lin" TargetMode="External"/><Relationship Id="rId160" Type="http://schemas.openxmlformats.org/officeDocument/2006/relationships/hyperlink" Target="https://www.flightradar24.com/data/aircraft/7t-vkp" TargetMode="External"/><Relationship Id="rId826" Type="http://schemas.openxmlformats.org/officeDocument/2006/relationships/hyperlink" Target="https://www.flightradar24.com/data/airports/edi" TargetMode="External"/><Relationship Id="rId1011" Type="http://schemas.openxmlformats.org/officeDocument/2006/relationships/hyperlink" Target="https://www.flightradar24.com/data/airports/gpa" TargetMode="External"/><Relationship Id="rId1109" Type="http://schemas.openxmlformats.org/officeDocument/2006/relationships/hyperlink" Target="https://www.flightradar24.com/data/airports/lin" TargetMode="External"/><Relationship Id="rId258" Type="http://schemas.openxmlformats.org/officeDocument/2006/relationships/hyperlink" Target="https://www.flightradar24.com/data/airlines/x3-tui" TargetMode="External"/><Relationship Id="rId465" Type="http://schemas.openxmlformats.org/officeDocument/2006/relationships/hyperlink" Target="https://www.flightradar24.com/data/airports/mad" TargetMode="External"/><Relationship Id="rId672" Type="http://schemas.openxmlformats.org/officeDocument/2006/relationships/hyperlink" Target="https://www.flightradar24.com/data/airports/hkg" TargetMode="External"/><Relationship Id="rId1095" Type="http://schemas.openxmlformats.org/officeDocument/2006/relationships/hyperlink" Target="https://www.flightradar24.com/data/airports/bio" TargetMode="External"/><Relationship Id="rId22" Type="http://schemas.openxmlformats.org/officeDocument/2006/relationships/hyperlink" Target="https://www.flightradar24.com/data/flights/bj396" TargetMode="External"/><Relationship Id="rId118" Type="http://schemas.openxmlformats.org/officeDocument/2006/relationships/hyperlink" Target="https://www.flightradar24.com/data/airports/vlc" TargetMode="External"/><Relationship Id="rId325" Type="http://schemas.openxmlformats.org/officeDocument/2006/relationships/hyperlink" Target="https://www.flightradar24.com/data/airports/mbj" TargetMode="External"/><Relationship Id="rId532" Type="http://schemas.openxmlformats.org/officeDocument/2006/relationships/hyperlink" Target="https://www.flightradar24.com/data/aircraft/hb-jxl" TargetMode="External"/><Relationship Id="rId977" Type="http://schemas.openxmlformats.org/officeDocument/2006/relationships/hyperlink" Target="https://www.flightradar24.com/data/airlines/6y-art" TargetMode="External"/><Relationship Id="rId1162" Type="http://schemas.openxmlformats.org/officeDocument/2006/relationships/hyperlink" Target="https://www.flightradar24.com/data/airlines/u2-ezy" TargetMode="External"/><Relationship Id="rId171" Type="http://schemas.openxmlformats.org/officeDocument/2006/relationships/hyperlink" Target="https://www.flightradar24.com/data/flights/sn3202" TargetMode="External"/><Relationship Id="rId837" Type="http://schemas.openxmlformats.org/officeDocument/2006/relationships/hyperlink" Target="https://www.flightradar24.com/data/flights/sk4744" TargetMode="External"/><Relationship Id="rId1022" Type="http://schemas.openxmlformats.org/officeDocument/2006/relationships/hyperlink" Target="https://www.flightradar24.com/data/aircraft/ei-sil" TargetMode="External"/><Relationship Id="rId269" Type="http://schemas.openxmlformats.org/officeDocument/2006/relationships/hyperlink" Target="https://www.flightradar24.com/data/airlines/lh-dlh" TargetMode="External"/><Relationship Id="rId476" Type="http://schemas.openxmlformats.org/officeDocument/2006/relationships/hyperlink" Target="https://www.flightradar24.com/data/airlines/az-ity" TargetMode="External"/><Relationship Id="rId683" Type="http://schemas.openxmlformats.org/officeDocument/2006/relationships/hyperlink" Target="https://www.flightradar24.com/data/flights/az151" TargetMode="External"/><Relationship Id="rId890" Type="http://schemas.openxmlformats.org/officeDocument/2006/relationships/hyperlink" Target="https://www.flightradar24.com/data/airlines/tp-tap" TargetMode="External"/><Relationship Id="rId904" Type="http://schemas.openxmlformats.org/officeDocument/2006/relationships/hyperlink" Target="https://www.flightradar24.com/data/airlines/ib-ibe" TargetMode="External"/><Relationship Id="rId33" Type="http://schemas.openxmlformats.org/officeDocument/2006/relationships/hyperlink" Target="https://www.flightradar24.com/data/aircraft/oe-ijr" TargetMode="External"/><Relationship Id="rId129" Type="http://schemas.openxmlformats.org/officeDocument/2006/relationships/hyperlink" Target="https://www.flightradar24.com/data/airports/chq" TargetMode="External"/><Relationship Id="rId336" Type="http://schemas.openxmlformats.org/officeDocument/2006/relationships/hyperlink" Target="https://www.flightradar24.com/data/aircraft/tc-lsp" TargetMode="External"/><Relationship Id="rId543" Type="http://schemas.openxmlformats.org/officeDocument/2006/relationships/hyperlink" Target="https://www.flightradar24.com/data/flights/ey57" TargetMode="External"/><Relationship Id="rId988" Type="http://schemas.openxmlformats.org/officeDocument/2006/relationships/hyperlink" Target="https://www.flightradar24.com/data/aircraft/oo-sni" TargetMode="External"/><Relationship Id="rId1173" Type="http://schemas.openxmlformats.org/officeDocument/2006/relationships/hyperlink" Target="https://www.flightradar24.com/data/aircraft/oo-ssq" TargetMode="External"/><Relationship Id="rId182" Type="http://schemas.openxmlformats.org/officeDocument/2006/relationships/hyperlink" Target="https://www.flightradar24.com/data/airports/lin" TargetMode="External"/><Relationship Id="rId403" Type="http://schemas.openxmlformats.org/officeDocument/2006/relationships/hyperlink" Target="https://www.flightradar24.com/data/airports/waw" TargetMode="External"/><Relationship Id="rId750" Type="http://schemas.openxmlformats.org/officeDocument/2006/relationships/hyperlink" Target="https://www.flightradar24.com/data/airports/lhr" TargetMode="External"/><Relationship Id="rId848" Type="http://schemas.openxmlformats.org/officeDocument/2006/relationships/hyperlink" Target="https://www.flightradar24.com/data/aircraft/oo-ssy" TargetMode="External"/><Relationship Id="rId1033" Type="http://schemas.openxmlformats.org/officeDocument/2006/relationships/hyperlink" Target="https://www.flightradar24.com/data/airlines/lh-dlh" TargetMode="External"/><Relationship Id="rId487" Type="http://schemas.openxmlformats.org/officeDocument/2006/relationships/hyperlink" Target="https://www.flightradar24.com/data/airports/cph" TargetMode="External"/><Relationship Id="rId610" Type="http://schemas.openxmlformats.org/officeDocument/2006/relationships/hyperlink" Target="https://www.flightradar24.com/data/flights/tb314" TargetMode="External"/><Relationship Id="rId694" Type="http://schemas.openxmlformats.org/officeDocument/2006/relationships/hyperlink" Target="https://www.flightradar24.com/data/aircraft/oo-tch" TargetMode="External"/><Relationship Id="rId708" Type="http://schemas.openxmlformats.org/officeDocument/2006/relationships/hyperlink" Target="https://www.flightradar24.com/data/airports/yul" TargetMode="External"/><Relationship Id="rId915" Type="http://schemas.openxmlformats.org/officeDocument/2006/relationships/hyperlink" Target="https://www.flightradar24.com/data/flights/tu955" TargetMode="External"/><Relationship Id="rId347" Type="http://schemas.openxmlformats.org/officeDocument/2006/relationships/hyperlink" Target="https://www.flightradar24.com/data/airports/zrh" TargetMode="External"/><Relationship Id="rId999" Type="http://schemas.openxmlformats.org/officeDocument/2006/relationships/hyperlink" Target="https://www.flightradar24.com/data/flights/wf1891" TargetMode="External"/><Relationship Id="rId1100" Type="http://schemas.openxmlformats.org/officeDocument/2006/relationships/hyperlink" Target="https://www.flightradar24.com/data/airlines/a3-aee" TargetMode="External"/><Relationship Id="rId1184" Type="http://schemas.openxmlformats.org/officeDocument/2006/relationships/hyperlink" Target="https://www.flightradar24.com/data/flights/tb2941" TargetMode="External"/><Relationship Id="rId44" Type="http://schemas.openxmlformats.org/officeDocument/2006/relationships/hyperlink" Target="https://www.flightradar24.com/data/aircraft/d-aibf" TargetMode="External"/><Relationship Id="rId554" Type="http://schemas.openxmlformats.org/officeDocument/2006/relationships/hyperlink" Target="https://www.flightradar24.com/data/airports/adb" TargetMode="External"/><Relationship Id="rId761" Type="http://schemas.openxmlformats.org/officeDocument/2006/relationships/hyperlink" Target="https://www.flightradar24.com/data/airlines/fr-ryr" TargetMode="External"/><Relationship Id="rId859" Type="http://schemas.openxmlformats.org/officeDocument/2006/relationships/hyperlink" Target="https://www.flightradar24.com/data/airlines/a3-aee" TargetMode="External"/><Relationship Id="rId193" Type="http://schemas.openxmlformats.org/officeDocument/2006/relationships/hyperlink" Target="https://www.flightradar24.com/data/flights/sn2174" TargetMode="External"/><Relationship Id="rId207" Type="http://schemas.openxmlformats.org/officeDocument/2006/relationships/hyperlink" Target="https://www.flightradar24.com/data/airlines/sn-bel" TargetMode="External"/><Relationship Id="rId414" Type="http://schemas.openxmlformats.org/officeDocument/2006/relationships/hyperlink" Target="https://www.flightradar24.com/data/aircraft/oe-lxb" TargetMode="External"/><Relationship Id="rId498" Type="http://schemas.openxmlformats.org/officeDocument/2006/relationships/hyperlink" Target="https://www.flightradar24.com/data/aircraft/oo-sso" TargetMode="External"/><Relationship Id="rId621" Type="http://schemas.openxmlformats.org/officeDocument/2006/relationships/hyperlink" Target="https://www.flightradar24.com/data/airlines/d0-dhk" TargetMode="External"/><Relationship Id="rId1044" Type="http://schemas.openxmlformats.org/officeDocument/2006/relationships/hyperlink" Target="https://www.flightradar24.com/data/flights/ah2063" TargetMode="External"/><Relationship Id="rId260" Type="http://schemas.openxmlformats.org/officeDocument/2006/relationships/hyperlink" Target="https://www.flightradar24.com/data/flights/tb746" TargetMode="External"/><Relationship Id="rId719" Type="http://schemas.openxmlformats.org/officeDocument/2006/relationships/hyperlink" Target="https://www.flightradar24.com/data/flights/sn3169" TargetMode="External"/><Relationship Id="rId926" Type="http://schemas.openxmlformats.org/officeDocument/2006/relationships/hyperlink" Target="https://www.flightradar24.com/data/aircraft/yl-ldj" TargetMode="External"/><Relationship Id="rId1111" Type="http://schemas.openxmlformats.org/officeDocument/2006/relationships/hyperlink" Target="https://www.flightradar24.com/data/aircraft/ei-hhp" TargetMode="External"/><Relationship Id="rId55" Type="http://schemas.openxmlformats.org/officeDocument/2006/relationships/hyperlink" Target="https://www.flightradar24.com/data/airlines/sk-sas" TargetMode="External"/><Relationship Id="rId120" Type="http://schemas.openxmlformats.org/officeDocument/2006/relationships/hyperlink" Target="https://www.flightradar24.com/data/aircraft/9h-cxb" TargetMode="External"/><Relationship Id="rId358" Type="http://schemas.openxmlformats.org/officeDocument/2006/relationships/hyperlink" Target="https://www.flightradar24.com/data/airlines/vy-vlg" TargetMode="External"/><Relationship Id="rId565" Type="http://schemas.openxmlformats.org/officeDocument/2006/relationships/hyperlink" Target="https://www.flightradar24.com/data/airlines/qr-qtr" TargetMode="External"/><Relationship Id="rId772" Type="http://schemas.openxmlformats.org/officeDocument/2006/relationships/hyperlink" Target="https://www.flightradar24.com/data/airlines/vy-vlg" TargetMode="External"/><Relationship Id="rId1195" Type="http://schemas.openxmlformats.org/officeDocument/2006/relationships/hyperlink" Target="https://www.flightradar24.com/data/flights/at833" TargetMode="External"/><Relationship Id="rId1209" Type="http://schemas.openxmlformats.org/officeDocument/2006/relationships/hyperlink" Target="https://www.flightradar24.com/data/flights/" TargetMode="External"/><Relationship Id="rId218" Type="http://schemas.openxmlformats.org/officeDocument/2006/relationships/hyperlink" Target="https://www.flightradar24.com/data/airports/lys" TargetMode="External"/><Relationship Id="rId425" Type="http://schemas.openxmlformats.org/officeDocument/2006/relationships/hyperlink" Target="https://www.flightradar24.com/data/flights/" TargetMode="External"/><Relationship Id="rId632" Type="http://schemas.openxmlformats.org/officeDocument/2006/relationships/hyperlink" Target="https://www.flightradar24.com/data/airports/ber" TargetMode="External"/><Relationship Id="rId1055" Type="http://schemas.openxmlformats.org/officeDocument/2006/relationships/hyperlink" Target="https://www.flightradar24.com/data/airports/ams" TargetMode="External"/><Relationship Id="rId271" Type="http://schemas.openxmlformats.org/officeDocument/2006/relationships/hyperlink" Target="https://www.flightradar24.com/data/aircraft/oo-jar" TargetMode="External"/><Relationship Id="rId937" Type="http://schemas.openxmlformats.org/officeDocument/2006/relationships/hyperlink" Target="https://www.flightradar24.com/data/airlines/g9-aby" TargetMode="External"/><Relationship Id="rId1122" Type="http://schemas.openxmlformats.org/officeDocument/2006/relationships/hyperlink" Target="https://www.flightradar24.com/data/aircraft/ph-hsb" TargetMode="External"/><Relationship Id="rId66" Type="http://schemas.openxmlformats.org/officeDocument/2006/relationships/hyperlink" Target="https://www.flightradar24.com/data/airports/lis" TargetMode="External"/><Relationship Id="rId131" Type="http://schemas.openxmlformats.org/officeDocument/2006/relationships/hyperlink" Target="https://www.flightradar24.com/data/aircraft/oo-ssb" TargetMode="External"/><Relationship Id="rId369" Type="http://schemas.openxmlformats.org/officeDocument/2006/relationships/hyperlink" Target="https://www.flightradar24.com/data/flights/sn2712" TargetMode="External"/><Relationship Id="rId576" Type="http://schemas.openxmlformats.org/officeDocument/2006/relationships/hyperlink" Target="https://www.flightradar24.com/data/aircraft/oo-sfx" TargetMode="External"/><Relationship Id="rId783" Type="http://schemas.openxmlformats.org/officeDocument/2006/relationships/hyperlink" Target="https://www.flightradar24.com/data/airports/ord" TargetMode="External"/><Relationship Id="rId990" Type="http://schemas.openxmlformats.org/officeDocument/2006/relationships/hyperlink" Target="https://www.flightradar24.com/data/airlines/sn-bel" TargetMode="External"/><Relationship Id="rId229" Type="http://schemas.openxmlformats.org/officeDocument/2006/relationships/hyperlink" Target="https://www.flightradar24.com/data/airports/ath" TargetMode="External"/><Relationship Id="rId436" Type="http://schemas.openxmlformats.org/officeDocument/2006/relationships/hyperlink" Target="https://www.flightradar24.com/data/aircraft/oo-sbc" TargetMode="External"/><Relationship Id="rId643" Type="http://schemas.openxmlformats.org/officeDocument/2006/relationships/hyperlink" Target="https://www.flightradar24.com/data/flights/lh1005" TargetMode="External"/><Relationship Id="rId1066" Type="http://schemas.openxmlformats.org/officeDocument/2006/relationships/hyperlink" Target="https://www.flightradar24.com/data/airports/ceq" TargetMode="External"/><Relationship Id="rId850" Type="http://schemas.openxmlformats.org/officeDocument/2006/relationships/hyperlink" Target="https://www.flightradar24.com/data/airports/ham" TargetMode="External"/><Relationship Id="rId948" Type="http://schemas.openxmlformats.org/officeDocument/2006/relationships/hyperlink" Target="https://www.flightradar24.com/data/airlines/fr-ryr" TargetMode="External"/><Relationship Id="rId1133" Type="http://schemas.openxmlformats.org/officeDocument/2006/relationships/hyperlink" Target="https://www.flightradar24.com/data/flights/hv9033" TargetMode="External"/><Relationship Id="rId77" Type="http://schemas.openxmlformats.org/officeDocument/2006/relationships/hyperlink" Target="https://www.flightradar24.com/data/airports/edi" TargetMode="External"/><Relationship Id="rId282" Type="http://schemas.openxmlformats.org/officeDocument/2006/relationships/hyperlink" Target="https://www.flightradar24.com/data/flights/tb1412" TargetMode="External"/><Relationship Id="rId503" Type="http://schemas.openxmlformats.org/officeDocument/2006/relationships/hyperlink" Target="https://www.flightradar24.com/data/airports/muc" TargetMode="External"/><Relationship Id="rId587" Type="http://schemas.openxmlformats.org/officeDocument/2006/relationships/hyperlink" Target="https://www.flightradar24.com/data/aircraft/oo-sfb" TargetMode="External"/><Relationship Id="rId710" Type="http://schemas.openxmlformats.org/officeDocument/2006/relationships/hyperlink" Target="https://www.flightradar24.com/data/aircraft/c-goik" TargetMode="External"/><Relationship Id="rId808" Type="http://schemas.openxmlformats.org/officeDocument/2006/relationships/hyperlink" Target="https://www.flightradar24.com/data/aircraft/se-rsl" TargetMode="External"/><Relationship Id="rId8" Type="http://schemas.openxmlformats.org/officeDocument/2006/relationships/hyperlink" Target="https://www.flightradar24.com/data/airlines/-uni" TargetMode="External"/><Relationship Id="rId142" Type="http://schemas.openxmlformats.org/officeDocument/2006/relationships/hyperlink" Target="https://www.flightradar24.com/data/aircraft/oo-snb" TargetMode="External"/><Relationship Id="rId447" Type="http://schemas.openxmlformats.org/officeDocument/2006/relationships/hyperlink" Target="https://www.flightradar24.com/data/airports/osl" TargetMode="External"/><Relationship Id="rId794" Type="http://schemas.openxmlformats.org/officeDocument/2006/relationships/hyperlink" Target="https://www.flightradar24.com/data/airports/ams" TargetMode="External"/><Relationship Id="rId1077" Type="http://schemas.openxmlformats.org/officeDocument/2006/relationships/hyperlink" Target="https://www.flightradar24.com/data/airports/dub" TargetMode="External"/><Relationship Id="rId1200" Type="http://schemas.openxmlformats.org/officeDocument/2006/relationships/hyperlink" Target="https://www.flightradar24.com/data/airlines/sn-bel" TargetMode="External"/><Relationship Id="rId654" Type="http://schemas.openxmlformats.org/officeDocument/2006/relationships/hyperlink" Target="https://www.flightradar24.com/data/aircraft/a7-bfj" TargetMode="External"/><Relationship Id="rId861" Type="http://schemas.openxmlformats.org/officeDocument/2006/relationships/hyperlink" Target="https://www.flightradar24.com/data/flights/ba393" TargetMode="External"/><Relationship Id="rId959" Type="http://schemas.openxmlformats.org/officeDocument/2006/relationships/hyperlink" Target="https://www.flightradar24.com/data/aircraft/d-aech" TargetMode="External"/><Relationship Id="rId293" Type="http://schemas.openxmlformats.org/officeDocument/2006/relationships/hyperlink" Target="https://www.flightradar24.com/data/airports/alc" TargetMode="External"/><Relationship Id="rId307" Type="http://schemas.openxmlformats.org/officeDocument/2006/relationships/hyperlink" Target="https://www.flightradar24.com/data/airlines/g9-aby" TargetMode="External"/><Relationship Id="rId514" Type="http://schemas.openxmlformats.org/officeDocument/2006/relationships/hyperlink" Target="https://www.flightradar24.com/data/airports/fra" TargetMode="External"/><Relationship Id="rId721" Type="http://schemas.openxmlformats.org/officeDocument/2006/relationships/hyperlink" Target="https://www.flightradar24.com/data/airlines/sn-bel" TargetMode="External"/><Relationship Id="rId1144" Type="http://schemas.openxmlformats.org/officeDocument/2006/relationships/hyperlink" Target="https://www.flightradar24.com/data/airports/muc" TargetMode="External"/><Relationship Id="rId88" Type="http://schemas.openxmlformats.org/officeDocument/2006/relationships/hyperlink" Target="https://www.flightradar24.com/data/flights/vy1470" TargetMode="External"/><Relationship Id="rId153" Type="http://schemas.openxmlformats.org/officeDocument/2006/relationships/hyperlink" Target="https://www.flightradar24.com/data/aircraft/d-aile" TargetMode="External"/><Relationship Id="rId360" Type="http://schemas.openxmlformats.org/officeDocument/2006/relationships/hyperlink" Target="https://www.flightradar24.com/data/aircraft/g-neor" TargetMode="External"/><Relationship Id="rId598" Type="http://schemas.openxmlformats.org/officeDocument/2006/relationships/hyperlink" Target="https://www.flightradar24.com/data/flights/qy850" TargetMode="External"/><Relationship Id="rId819" Type="http://schemas.openxmlformats.org/officeDocument/2006/relationships/hyperlink" Target="https://www.flightradar24.com/data/airlines/vy-vlg" TargetMode="External"/><Relationship Id="rId1004" Type="http://schemas.openxmlformats.org/officeDocument/2006/relationships/hyperlink" Target="https://www.flightradar24.com/data/airlines/sn-bel" TargetMode="External"/><Relationship Id="rId1211" Type="http://schemas.openxmlformats.org/officeDocument/2006/relationships/hyperlink" Target="https://www.flightradar24.com/data/airlines/-lrq" TargetMode="External"/><Relationship Id="rId220" Type="http://schemas.openxmlformats.org/officeDocument/2006/relationships/hyperlink" Target="https://www.flightradar24.com/data/aircraft/oo-tch" TargetMode="External"/><Relationship Id="rId458" Type="http://schemas.openxmlformats.org/officeDocument/2006/relationships/hyperlink" Target="https://www.flightradar24.com/data/airlines/sn-bel" TargetMode="External"/><Relationship Id="rId665" Type="http://schemas.openxmlformats.org/officeDocument/2006/relationships/hyperlink" Target="https://www.flightradar24.com/data/airlines/fr-ryr" TargetMode="External"/><Relationship Id="rId872" Type="http://schemas.openxmlformats.org/officeDocument/2006/relationships/hyperlink" Target="https://www.flightradar24.com/data/aircraft/n91007" TargetMode="External"/><Relationship Id="rId1088" Type="http://schemas.openxmlformats.org/officeDocument/2006/relationships/hyperlink" Target="https://www.flightradar24.com/data/airlines/x3-tui" TargetMode="External"/><Relationship Id="rId15" Type="http://schemas.openxmlformats.org/officeDocument/2006/relationships/hyperlink" Target="https://www.flightradar24.com/data/aircraft/lx-two" TargetMode="External"/><Relationship Id="rId318" Type="http://schemas.openxmlformats.org/officeDocument/2006/relationships/hyperlink" Target="https://www.flightradar24.com/data/airports/cdg" TargetMode="External"/><Relationship Id="rId525" Type="http://schemas.openxmlformats.org/officeDocument/2006/relationships/hyperlink" Target="https://www.flightradar24.com/data/airlines/ua-ual" TargetMode="External"/><Relationship Id="rId732" Type="http://schemas.openxmlformats.org/officeDocument/2006/relationships/hyperlink" Target="https://www.flightradar24.com/data/airports/tls" TargetMode="External"/><Relationship Id="rId1155" Type="http://schemas.openxmlformats.org/officeDocument/2006/relationships/hyperlink" Target="https://www.flightradar24.com/data/airlines/sn-bel" TargetMode="External"/><Relationship Id="rId99" Type="http://schemas.openxmlformats.org/officeDocument/2006/relationships/hyperlink" Target="https://www.flightradar24.com/data/airports/ayt" TargetMode="External"/><Relationship Id="rId164" Type="http://schemas.openxmlformats.org/officeDocument/2006/relationships/hyperlink" Target="https://www.flightradar24.com/data/aircraft/oo-jal" TargetMode="External"/><Relationship Id="rId371" Type="http://schemas.openxmlformats.org/officeDocument/2006/relationships/hyperlink" Target="https://www.flightradar24.com/data/airlines/sk-sas" TargetMode="External"/><Relationship Id="rId1015" Type="http://schemas.openxmlformats.org/officeDocument/2006/relationships/hyperlink" Target="https://www.flightradar24.com/data/airlines/ua-ual" TargetMode="External"/><Relationship Id="rId1222" Type="http://schemas.openxmlformats.org/officeDocument/2006/relationships/drawing" Target="../drawings/drawing1.xml"/><Relationship Id="rId469" Type="http://schemas.openxmlformats.org/officeDocument/2006/relationships/hyperlink" Target="https://www.flightradar24.com/data/aircraft/oo-tcv" TargetMode="External"/><Relationship Id="rId676" Type="http://schemas.openxmlformats.org/officeDocument/2006/relationships/hyperlink" Target="https://www.flightradar24.com/data/airports/lis" TargetMode="External"/><Relationship Id="rId883" Type="http://schemas.openxmlformats.org/officeDocument/2006/relationships/hyperlink" Target="https://www.flightradar24.com/data/airports/szx" TargetMode="External"/><Relationship Id="rId1099" Type="http://schemas.openxmlformats.org/officeDocument/2006/relationships/hyperlink" Target="https://www.flightradar24.com/data/airports/skg" TargetMode="External"/><Relationship Id="rId26" Type="http://schemas.openxmlformats.org/officeDocument/2006/relationships/hyperlink" Target="https://www.flightradar24.com/data/aircraft/es-saa" TargetMode="External"/><Relationship Id="rId231" Type="http://schemas.openxmlformats.org/officeDocument/2006/relationships/hyperlink" Target="https://www.flightradar24.com/data/aircraft/es-sab" TargetMode="External"/><Relationship Id="rId329" Type="http://schemas.openxmlformats.org/officeDocument/2006/relationships/hyperlink" Target="https://www.flightradar24.com/data/airports/fra" TargetMode="External"/><Relationship Id="rId536" Type="http://schemas.openxmlformats.org/officeDocument/2006/relationships/hyperlink" Target="https://www.flightradar24.com/data/aircraft/oo-sfg" TargetMode="External"/><Relationship Id="rId1166" Type="http://schemas.openxmlformats.org/officeDocument/2006/relationships/hyperlink" Target="https://www.flightradar24.com/data/aircraft/oo-sbb" TargetMode="External"/><Relationship Id="rId175" Type="http://schemas.openxmlformats.org/officeDocument/2006/relationships/hyperlink" Target="https://www.flightradar24.com/data/flights/sk589" TargetMode="External"/><Relationship Id="rId743" Type="http://schemas.openxmlformats.org/officeDocument/2006/relationships/hyperlink" Target="https://www.flightradar24.com/data/aircraft/oo-snb" TargetMode="External"/><Relationship Id="rId950" Type="http://schemas.openxmlformats.org/officeDocument/2006/relationships/hyperlink" Target="https://www.flightradar24.com/data/flights/tb1911" TargetMode="External"/><Relationship Id="rId1026" Type="http://schemas.openxmlformats.org/officeDocument/2006/relationships/hyperlink" Target="https://www.flightradar24.com/data/airports/ist" TargetMode="External"/><Relationship Id="rId382" Type="http://schemas.openxmlformats.org/officeDocument/2006/relationships/hyperlink" Target="https://www.flightradar24.com/data/aircraft/ei-des" TargetMode="External"/><Relationship Id="rId603" Type="http://schemas.openxmlformats.org/officeDocument/2006/relationships/hyperlink" Target="https://www.flightradar24.com/data/aircraft/tc-fbo" TargetMode="External"/><Relationship Id="rId687" Type="http://schemas.openxmlformats.org/officeDocument/2006/relationships/hyperlink" Target="https://www.flightradar24.com/data/flights/fr658" TargetMode="External"/><Relationship Id="rId810" Type="http://schemas.openxmlformats.org/officeDocument/2006/relationships/hyperlink" Target="https://www.flightradar24.com/data/airports/jfk" TargetMode="External"/><Relationship Id="rId908" Type="http://schemas.openxmlformats.org/officeDocument/2006/relationships/hyperlink" Target="https://www.flightradar24.com/data/aircraft/oo-sfe" TargetMode="External"/><Relationship Id="rId242" Type="http://schemas.openxmlformats.org/officeDocument/2006/relationships/hyperlink" Target="https://www.flightradar24.com/data/aircraft/9h-vvl" TargetMode="External"/><Relationship Id="rId894" Type="http://schemas.openxmlformats.org/officeDocument/2006/relationships/hyperlink" Target="https://www.flightradar24.com/data/airlines/sn-bel" TargetMode="External"/><Relationship Id="rId1177" Type="http://schemas.openxmlformats.org/officeDocument/2006/relationships/hyperlink" Target="https://www.flightradar24.com/data/aircraft/oe-fwf" TargetMode="External"/><Relationship Id="rId37" Type="http://schemas.openxmlformats.org/officeDocument/2006/relationships/hyperlink" Target="https://www.flightradar24.com/data/aircraft/tc-spa" TargetMode="External"/><Relationship Id="rId102" Type="http://schemas.openxmlformats.org/officeDocument/2006/relationships/hyperlink" Target="https://www.flightradar24.com/data/airlines/kk-ngn" TargetMode="External"/><Relationship Id="rId547" Type="http://schemas.openxmlformats.org/officeDocument/2006/relationships/hyperlink" Target="https://www.flightradar24.com/data/flights/fr162" TargetMode="External"/><Relationship Id="rId754" Type="http://schemas.openxmlformats.org/officeDocument/2006/relationships/hyperlink" Target="https://www.flightradar24.com/data/airlines/sn-bel" TargetMode="External"/><Relationship Id="rId961" Type="http://schemas.openxmlformats.org/officeDocument/2006/relationships/hyperlink" Target="https://www.flightradar24.com/data/airports/tfs" TargetMode="External"/><Relationship Id="rId90" Type="http://schemas.openxmlformats.org/officeDocument/2006/relationships/hyperlink" Target="https://www.flightradar24.com/data/airlines/fr-ryr" TargetMode="External"/><Relationship Id="rId186" Type="http://schemas.openxmlformats.org/officeDocument/2006/relationships/hyperlink" Target="https://www.flightradar24.com/data/airports/ist" TargetMode="External"/><Relationship Id="rId393" Type="http://schemas.openxmlformats.org/officeDocument/2006/relationships/hyperlink" Target="https://www.flightradar24.com/data/flights/vy1334" TargetMode="External"/><Relationship Id="rId407" Type="http://schemas.openxmlformats.org/officeDocument/2006/relationships/hyperlink" Target="https://www.flightradar24.com/data/airports/vlc" TargetMode="External"/><Relationship Id="rId614" Type="http://schemas.openxmlformats.org/officeDocument/2006/relationships/hyperlink" Target="https://www.flightradar24.com/data/aircraft/oo-jax" TargetMode="External"/><Relationship Id="rId821" Type="http://schemas.openxmlformats.org/officeDocument/2006/relationships/hyperlink" Target="https://www.flightradar24.com/data/flights/ux1172" TargetMode="External"/><Relationship Id="rId1037" Type="http://schemas.openxmlformats.org/officeDocument/2006/relationships/hyperlink" Target="https://www.flightradar24.com/data/aircraft/oe-lbx" TargetMode="External"/><Relationship Id="rId253" Type="http://schemas.openxmlformats.org/officeDocument/2006/relationships/hyperlink" Target="https://www.flightradar24.com/data/aircraft/ei-igw" TargetMode="External"/><Relationship Id="rId460" Type="http://schemas.openxmlformats.org/officeDocument/2006/relationships/hyperlink" Target="https://www.flightradar24.com/data/aircraft/9a-cqf" TargetMode="External"/><Relationship Id="rId698" Type="http://schemas.openxmlformats.org/officeDocument/2006/relationships/hyperlink" Target="https://www.flightradar24.com/data/aircraft/oo-ssa" TargetMode="External"/><Relationship Id="rId919" Type="http://schemas.openxmlformats.org/officeDocument/2006/relationships/hyperlink" Target="https://www.flightradar24.com/data/flights/3o114" TargetMode="External"/><Relationship Id="rId1090" Type="http://schemas.openxmlformats.org/officeDocument/2006/relationships/hyperlink" Target="https://www.flightradar24.com/data/flights/tb2951" TargetMode="External"/><Relationship Id="rId1104" Type="http://schemas.openxmlformats.org/officeDocument/2006/relationships/hyperlink" Target="https://www.flightradar24.com/data/flights/tb2327" TargetMode="External"/><Relationship Id="rId48" Type="http://schemas.openxmlformats.org/officeDocument/2006/relationships/hyperlink" Target="https://www.flightradar24.com/data/airlines/sn-bel" TargetMode="External"/><Relationship Id="rId113" Type="http://schemas.openxmlformats.org/officeDocument/2006/relationships/hyperlink" Target="https://www.flightradar24.com/data/airlines/6y-art" TargetMode="External"/><Relationship Id="rId320" Type="http://schemas.openxmlformats.org/officeDocument/2006/relationships/hyperlink" Target="https://www.flightradar24.com/data/airlines/fr-ryr" TargetMode="External"/><Relationship Id="rId558" Type="http://schemas.openxmlformats.org/officeDocument/2006/relationships/hyperlink" Target="https://www.flightradar24.com/data/airports/cvg" TargetMode="External"/><Relationship Id="rId765" Type="http://schemas.openxmlformats.org/officeDocument/2006/relationships/hyperlink" Target="https://www.flightradar24.com/data/aircraft/ec-loc" TargetMode="External"/><Relationship Id="rId972" Type="http://schemas.openxmlformats.org/officeDocument/2006/relationships/hyperlink" Target="https://www.flightradar24.com/data/airports/cun" TargetMode="External"/><Relationship Id="rId1188" Type="http://schemas.openxmlformats.org/officeDocument/2006/relationships/hyperlink" Target="https://www.flightradar24.com/data/flights/bj397" TargetMode="External"/><Relationship Id="rId197" Type="http://schemas.openxmlformats.org/officeDocument/2006/relationships/hyperlink" Target="https://www.flightradar24.com/data/flights/h5721" TargetMode="External"/><Relationship Id="rId418" Type="http://schemas.openxmlformats.org/officeDocument/2006/relationships/hyperlink" Target="https://www.flightradar24.com/data/airlines/bt-bti" TargetMode="External"/><Relationship Id="rId625" Type="http://schemas.openxmlformats.org/officeDocument/2006/relationships/hyperlink" Target="https://www.flightradar24.com/data/airlines/d0-dhk" TargetMode="External"/><Relationship Id="rId832" Type="http://schemas.openxmlformats.org/officeDocument/2006/relationships/hyperlink" Target="https://www.flightradar24.com/data/aircraft/oo-snq" TargetMode="External"/><Relationship Id="rId1048" Type="http://schemas.openxmlformats.org/officeDocument/2006/relationships/hyperlink" Target="https://www.flightradar24.com/data/airports/zrh" TargetMode="External"/><Relationship Id="rId264" Type="http://schemas.openxmlformats.org/officeDocument/2006/relationships/hyperlink" Target="https://www.flightradar24.com/data/aircraft/oo-tms" TargetMode="External"/><Relationship Id="rId471" Type="http://schemas.openxmlformats.org/officeDocument/2006/relationships/hyperlink" Target="https://www.flightradar24.com/data/airports/lys" TargetMode="External"/><Relationship Id="rId1115" Type="http://schemas.openxmlformats.org/officeDocument/2006/relationships/hyperlink" Target="https://www.flightradar24.com/data/flights/fh8067" TargetMode="External"/><Relationship Id="rId59" Type="http://schemas.openxmlformats.org/officeDocument/2006/relationships/hyperlink" Target="https://www.flightradar24.com/data/airports/mrs" TargetMode="External"/><Relationship Id="rId124" Type="http://schemas.openxmlformats.org/officeDocument/2006/relationships/hyperlink" Target="https://www.flightradar24.com/data/aircraft/ec-llm" TargetMode="External"/><Relationship Id="rId569" Type="http://schemas.openxmlformats.org/officeDocument/2006/relationships/hyperlink" Target="https://www.flightradar24.com/data/airlines/hu-chh" TargetMode="External"/><Relationship Id="rId776" Type="http://schemas.openxmlformats.org/officeDocument/2006/relationships/hyperlink" Target="https://www.flightradar24.com/data/airlines/dn-joc" TargetMode="External"/><Relationship Id="rId983" Type="http://schemas.openxmlformats.org/officeDocument/2006/relationships/hyperlink" Target="https://www.flightradar24.com/data/airports/smi" TargetMode="External"/><Relationship Id="rId1199" Type="http://schemas.openxmlformats.org/officeDocument/2006/relationships/hyperlink" Target="https://www.flightradar24.com/data/airports/muc" TargetMode="External"/><Relationship Id="rId331" Type="http://schemas.openxmlformats.org/officeDocument/2006/relationships/hyperlink" Target="https://www.flightradar24.com/data/airlines/az-ity" TargetMode="External"/><Relationship Id="rId429" Type="http://schemas.openxmlformats.org/officeDocument/2006/relationships/hyperlink" Target="https://www.flightradar24.com/data/flights/fr657" TargetMode="External"/><Relationship Id="rId636" Type="http://schemas.openxmlformats.org/officeDocument/2006/relationships/hyperlink" Target="https://www.flightradar24.com/data/airports/gva" TargetMode="External"/><Relationship Id="rId1059" Type="http://schemas.openxmlformats.org/officeDocument/2006/relationships/hyperlink" Target="https://www.flightradar24.com/data/airports/boj" TargetMode="External"/><Relationship Id="rId843" Type="http://schemas.openxmlformats.org/officeDocument/2006/relationships/hyperlink" Target="https://www.flightradar24.com/data/airlines/sn-bel" TargetMode="External"/><Relationship Id="rId1126" Type="http://schemas.openxmlformats.org/officeDocument/2006/relationships/hyperlink" Target="https://www.flightradar24.com/data/flights/tb3407" TargetMode="External"/><Relationship Id="rId275" Type="http://schemas.openxmlformats.org/officeDocument/2006/relationships/hyperlink" Target="https://www.flightradar24.com/data/aircraft/cn-nmi" TargetMode="External"/><Relationship Id="rId482" Type="http://schemas.openxmlformats.org/officeDocument/2006/relationships/hyperlink" Target="https://www.flightradar24.com/data/aircraft/oo-ssu" TargetMode="External"/><Relationship Id="rId703" Type="http://schemas.openxmlformats.org/officeDocument/2006/relationships/hyperlink" Target="https://www.flightradar24.com/data/flights/sn3201" TargetMode="External"/><Relationship Id="rId910" Type="http://schemas.openxmlformats.org/officeDocument/2006/relationships/hyperlink" Target="https://www.flightradar24.com/data/airlines/sn-bel" TargetMode="External"/><Relationship Id="rId135" Type="http://schemas.openxmlformats.org/officeDocument/2006/relationships/hyperlink" Target="https://www.flightradar24.com/data/aircraft/hb-jbf" TargetMode="External"/><Relationship Id="rId342" Type="http://schemas.openxmlformats.org/officeDocument/2006/relationships/hyperlink" Target="https://www.flightradar24.com/data/aircraft/sx-nep" TargetMode="External"/><Relationship Id="rId787" Type="http://schemas.openxmlformats.org/officeDocument/2006/relationships/hyperlink" Target="https://www.flightradar24.com/data/airports/vie" TargetMode="External"/><Relationship Id="rId994" Type="http://schemas.openxmlformats.org/officeDocument/2006/relationships/hyperlink" Target="https://www.flightradar24.com/data/airlines/gq-seh" TargetMode="External"/><Relationship Id="rId202" Type="http://schemas.openxmlformats.org/officeDocument/2006/relationships/hyperlink" Target="https://www.flightradar24.com/data/aircraft/oo-ssf" TargetMode="External"/><Relationship Id="rId647" Type="http://schemas.openxmlformats.org/officeDocument/2006/relationships/hyperlink" Target="https://www.flightradar24.com/data/flights/lx791" TargetMode="External"/><Relationship Id="rId854" Type="http://schemas.openxmlformats.org/officeDocument/2006/relationships/hyperlink" Target="https://www.flightradar24.com/data/airports/esb" TargetMode="External"/><Relationship Id="rId286" Type="http://schemas.openxmlformats.org/officeDocument/2006/relationships/hyperlink" Target="https://www.flightradar24.com/data/flights/vf65" TargetMode="External"/><Relationship Id="rId493" Type="http://schemas.openxmlformats.org/officeDocument/2006/relationships/hyperlink" Target="https://www.flightradar24.com/data/airlines/sn-bel" TargetMode="External"/><Relationship Id="rId507" Type="http://schemas.openxmlformats.org/officeDocument/2006/relationships/hyperlink" Target="https://www.flightradar24.com/data/flights/lx790" TargetMode="External"/><Relationship Id="rId714" Type="http://schemas.openxmlformats.org/officeDocument/2006/relationships/hyperlink" Target="https://www.flightradar24.com/data/aircraft/c-frtw" TargetMode="External"/><Relationship Id="rId921" Type="http://schemas.openxmlformats.org/officeDocument/2006/relationships/hyperlink" Target="https://www.flightradar24.com/data/airlines/g9-aby" TargetMode="External"/><Relationship Id="rId1137" Type="http://schemas.openxmlformats.org/officeDocument/2006/relationships/hyperlink" Target="https://www.flightradar24.com/data/airports/cai" TargetMode="External"/><Relationship Id="rId50" Type="http://schemas.openxmlformats.org/officeDocument/2006/relationships/hyperlink" Target="https://www.flightradar24.com/data/aircraft/oo-ssy" TargetMode="External"/><Relationship Id="rId146" Type="http://schemas.openxmlformats.org/officeDocument/2006/relationships/hyperlink" Target="https://www.flightradar24.com/data/aircraft/oe-lbx" TargetMode="External"/><Relationship Id="rId353" Type="http://schemas.openxmlformats.org/officeDocument/2006/relationships/hyperlink" Target="https://www.flightradar24.com/data/airports/mxp" TargetMode="External"/><Relationship Id="rId560" Type="http://schemas.openxmlformats.org/officeDocument/2006/relationships/hyperlink" Target="https://www.flightradar24.com/data/aircraft/et-apu" TargetMode="External"/><Relationship Id="rId798" Type="http://schemas.openxmlformats.org/officeDocument/2006/relationships/hyperlink" Target="https://www.flightradar24.com/data/airports/kgl" TargetMode="External"/><Relationship Id="rId1190" Type="http://schemas.openxmlformats.org/officeDocument/2006/relationships/hyperlink" Target="https://www.flightradar24.com/data/airlines/bj-lbt" TargetMode="External"/><Relationship Id="rId1204" Type="http://schemas.openxmlformats.org/officeDocument/2006/relationships/hyperlink" Target="https://www.flightradar24.com/data/aircraft/tc-jtr" TargetMode="External"/><Relationship Id="rId213" Type="http://schemas.openxmlformats.org/officeDocument/2006/relationships/hyperlink" Target="https://www.flightradar24.com/data/aircraft/oo-sbc" TargetMode="External"/><Relationship Id="rId420" Type="http://schemas.openxmlformats.org/officeDocument/2006/relationships/hyperlink" Target="https://www.flightradar24.com/data/aircraft/n91007" TargetMode="External"/><Relationship Id="rId658" Type="http://schemas.openxmlformats.org/officeDocument/2006/relationships/hyperlink" Target="https://www.flightradar24.com/data/aircraft/oo-ssf" TargetMode="External"/><Relationship Id="rId865" Type="http://schemas.openxmlformats.org/officeDocument/2006/relationships/hyperlink" Target="https://www.flightradar24.com/data/flights/fr2923" TargetMode="External"/><Relationship Id="rId1050" Type="http://schemas.openxmlformats.org/officeDocument/2006/relationships/hyperlink" Target="https://www.flightradar24.com/data/aircraft/hb-jbf" TargetMode="External"/><Relationship Id="rId297" Type="http://schemas.openxmlformats.org/officeDocument/2006/relationships/hyperlink" Target="https://www.flightradar24.com/data/airports/tng" TargetMode="External"/><Relationship Id="rId518" Type="http://schemas.openxmlformats.org/officeDocument/2006/relationships/hyperlink" Target="https://www.flightradar24.com/data/airports/yul" TargetMode="External"/><Relationship Id="rId725" Type="http://schemas.openxmlformats.org/officeDocument/2006/relationships/hyperlink" Target="https://www.flightradar24.com/data/aircraft/oo-sss" TargetMode="External"/><Relationship Id="rId932" Type="http://schemas.openxmlformats.org/officeDocument/2006/relationships/hyperlink" Target="https://www.flightradar24.com/data/airports/aga" TargetMode="External"/><Relationship Id="rId1148" Type="http://schemas.openxmlformats.org/officeDocument/2006/relationships/hyperlink" Target="https://www.flightradar24.com/data/airlines/sn-bel" TargetMode="External"/><Relationship Id="rId157" Type="http://schemas.openxmlformats.org/officeDocument/2006/relationships/hyperlink" Target="https://www.flightradar24.com/data/airlines/sn-bel" TargetMode="External"/><Relationship Id="rId364" Type="http://schemas.openxmlformats.org/officeDocument/2006/relationships/hyperlink" Target="https://www.flightradar24.com/data/airlines/xq-sxs" TargetMode="External"/><Relationship Id="rId1008" Type="http://schemas.openxmlformats.org/officeDocument/2006/relationships/hyperlink" Target="https://www.flightradar24.com/data/airlines/sn-bel" TargetMode="External"/><Relationship Id="rId1215" Type="http://schemas.openxmlformats.org/officeDocument/2006/relationships/hyperlink" Target="https://www.flightradar24.com/data/airlines/ek-uae" TargetMode="External"/><Relationship Id="rId61" Type="http://schemas.openxmlformats.org/officeDocument/2006/relationships/hyperlink" Target="https://www.flightradar24.com/data/aircraft/su-ged" TargetMode="External"/><Relationship Id="rId571" Type="http://schemas.openxmlformats.org/officeDocument/2006/relationships/hyperlink" Target="https://www.flightradar24.com/data/flights/hu491" TargetMode="External"/><Relationship Id="rId669" Type="http://schemas.openxmlformats.org/officeDocument/2006/relationships/hyperlink" Target="https://www.flightradar24.com/data/airlines/lh-dlh" TargetMode="External"/><Relationship Id="rId876" Type="http://schemas.openxmlformats.org/officeDocument/2006/relationships/hyperlink" Target="https://www.flightradar24.com/data/airports/ist" TargetMode="External"/><Relationship Id="rId19" Type="http://schemas.openxmlformats.org/officeDocument/2006/relationships/hyperlink" Target="https://www.flightradar24.com/data/aircraft/ts-ino" TargetMode="External"/><Relationship Id="rId224" Type="http://schemas.openxmlformats.org/officeDocument/2006/relationships/hyperlink" Target="https://www.flightradar24.com/data/airlines/hv-tra" TargetMode="External"/><Relationship Id="rId431" Type="http://schemas.openxmlformats.org/officeDocument/2006/relationships/hyperlink" Target="https://www.flightradar24.com/data/airlines/bt-bti" TargetMode="External"/><Relationship Id="rId529" Type="http://schemas.openxmlformats.org/officeDocument/2006/relationships/hyperlink" Target="https://www.flightradar24.com/data/airlines/ac-aca" TargetMode="External"/><Relationship Id="rId736" Type="http://schemas.openxmlformats.org/officeDocument/2006/relationships/hyperlink" Target="https://www.flightradar24.com/data/airlines/vy-vlg" TargetMode="External"/><Relationship Id="rId1061" Type="http://schemas.openxmlformats.org/officeDocument/2006/relationships/hyperlink" Target="https://www.flightradar24.com/data/aircraft/9h-cxb" TargetMode="External"/><Relationship Id="rId1159" Type="http://schemas.openxmlformats.org/officeDocument/2006/relationships/hyperlink" Target="https://www.flightradar24.com/data/aircraft/a7-bdd" TargetMode="External"/><Relationship Id="rId168" Type="http://schemas.openxmlformats.org/officeDocument/2006/relationships/hyperlink" Target="https://www.flightradar24.com/data/aircraft/oo-ssu" TargetMode="External"/><Relationship Id="rId943" Type="http://schemas.openxmlformats.org/officeDocument/2006/relationships/hyperlink" Target="https://www.flightradar24.com/data/airports/muc" TargetMode="External"/><Relationship Id="rId1019" Type="http://schemas.openxmlformats.org/officeDocument/2006/relationships/hyperlink" Target="https://www.flightradar24.com/data/aircraft/oo-sbc" TargetMode="External"/><Relationship Id="rId72" Type="http://schemas.openxmlformats.org/officeDocument/2006/relationships/hyperlink" Target="https://www.flightradar24.com/data/airlines/-gac" TargetMode="External"/><Relationship Id="rId375" Type="http://schemas.openxmlformats.org/officeDocument/2006/relationships/hyperlink" Target="https://www.flightradar24.com/data/airlines/ux-aea" TargetMode="External"/><Relationship Id="rId582" Type="http://schemas.openxmlformats.org/officeDocument/2006/relationships/hyperlink" Target="https://www.flightradar24.com/data/flights/" TargetMode="External"/><Relationship Id="rId803" Type="http://schemas.openxmlformats.org/officeDocument/2006/relationships/hyperlink" Target="https://www.flightradar24.com/data/airlines/sn-bel" TargetMode="External"/><Relationship Id="rId3" Type="http://schemas.openxmlformats.org/officeDocument/2006/relationships/hyperlink" Target="https://www.flightradar24.com/data/airports/dxb" TargetMode="External"/><Relationship Id="rId235" Type="http://schemas.openxmlformats.org/officeDocument/2006/relationships/hyperlink" Target="https://www.flightradar24.com/data/aircraft/oo-snk" TargetMode="External"/><Relationship Id="rId442" Type="http://schemas.openxmlformats.org/officeDocument/2006/relationships/hyperlink" Target="https://www.flightradar24.com/data/aircraft/yu-apm" TargetMode="External"/><Relationship Id="rId887" Type="http://schemas.openxmlformats.org/officeDocument/2006/relationships/hyperlink" Target="https://www.flightradar24.com/data/airlines/az-ity" TargetMode="External"/><Relationship Id="rId1072" Type="http://schemas.openxmlformats.org/officeDocument/2006/relationships/hyperlink" Target="https://www.flightradar24.com/data/aircraft/d-anne" TargetMode="External"/><Relationship Id="rId302" Type="http://schemas.openxmlformats.org/officeDocument/2006/relationships/hyperlink" Target="https://www.flightradar24.com/data/flights/tu954" TargetMode="External"/><Relationship Id="rId747" Type="http://schemas.openxmlformats.org/officeDocument/2006/relationships/hyperlink" Target="https://www.flightradar24.com/data/airports/vie" TargetMode="External"/><Relationship Id="rId954" Type="http://schemas.openxmlformats.org/officeDocument/2006/relationships/hyperlink" Target="https://www.flightradar24.com/data/flights/" TargetMode="External"/><Relationship Id="rId83" Type="http://schemas.openxmlformats.org/officeDocument/2006/relationships/hyperlink" Target="https://www.flightradar24.com/data/airports/mad" TargetMode="External"/><Relationship Id="rId179" Type="http://schemas.openxmlformats.org/officeDocument/2006/relationships/hyperlink" Target="https://www.flightradar24.com/data/flights/hv9008" TargetMode="External"/><Relationship Id="rId386" Type="http://schemas.openxmlformats.org/officeDocument/2006/relationships/hyperlink" Target="https://www.flightradar24.com/data/aircraft/ph-ezc" TargetMode="External"/><Relationship Id="rId593" Type="http://schemas.openxmlformats.org/officeDocument/2006/relationships/hyperlink" Target="https://www.flightradar24.com/data/airports/lej" TargetMode="External"/><Relationship Id="rId607" Type="http://schemas.openxmlformats.org/officeDocument/2006/relationships/hyperlink" Target="https://www.flightradar24.com/data/aircraft/oo-jax" TargetMode="External"/><Relationship Id="rId814" Type="http://schemas.openxmlformats.org/officeDocument/2006/relationships/hyperlink" Target="https://www.flightradar24.com/data/airports/jfk" TargetMode="External"/><Relationship Id="rId246" Type="http://schemas.openxmlformats.org/officeDocument/2006/relationships/hyperlink" Target="https://www.flightradar24.com/data/aircraft/oo-snl" TargetMode="External"/><Relationship Id="rId453" Type="http://schemas.openxmlformats.org/officeDocument/2006/relationships/hyperlink" Target="https://www.flightradar24.com/data/airports/vce" TargetMode="External"/><Relationship Id="rId660" Type="http://schemas.openxmlformats.org/officeDocument/2006/relationships/hyperlink" Target="https://www.flightradar24.com/data/airports/dwc" TargetMode="External"/><Relationship Id="rId898" Type="http://schemas.openxmlformats.org/officeDocument/2006/relationships/hyperlink" Target="https://www.flightradar24.com/data/airlines/g9-aby" TargetMode="External"/><Relationship Id="rId1083" Type="http://schemas.openxmlformats.org/officeDocument/2006/relationships/hyperlink" Target="https://www.flightradar24.com/data/airports/waw" TargetMode="External"/><Relationship Id="rId106" Type="http://schemas.openxmlformats.org/officeDocument/2006/relationships/hyperlink" Target="https://www.flightradar24.com/data/airlines/6y-art" TargetMode="External"/><Relationship Id="rId313" Type="http://schemas.openxmlformats.org/officeDocument/2006/relationships/hyperlink" Target="https://www.flightradar24.com/data/aircraft/cs-tto" TargetMode="External"/><Relationship Id="rId758" Type="http://schemas.openxmlformats.org/officeDocument/2006/relationships/hyperlink" Target="https://www.flightradar24.com/data/aircraft/oo-ssx" TargetMode="External"/><Relationship Id="rId965" Type="http://schemas.openxmlformats.org/officeDocument/2006/relationships/hyperlink" Target="https://www.flightradar24.com/data/airports/pek" TargetMode="External"/><Relationship Id="rId1150" Type="http://schemas.openxmlformats.org/officeDocument/2006/relationships/hyperlink" Target="https://www.flightradar24.com/data/airports/prg" TargetMode="External"/><Relationship Id="rId10" Type="http://schemas.openxmlformats.org/officeDocument/2006/relationships/hyperlink" Target="https://www.flightradar24.com/data/flights/uni132" TargetMode="External"/><Relationship Id="rId94" Type="http://schemas.openxmlformats.org/officeDocument/2006/relationships/hyperlink" Target="https://www.flightradar24.com/data/airlines/az-ity" TargetMode="External"/><Relationship Id="rId397" Type="http://schemas.openxmlformats.org/officeDocument/2006/relationships/hyperlink" Target="https://www.flightradar24.com/data/aircraft/ei-evs" TargetMode="External"/><Relationship Id="rId520" Type="http://schemas.openxmlformats.org/officeDocument/2006/relationships/hyperlink" Target="https://www.flightradar24.com/data/aircraft/oo-sfj" TargetMode="External"/><Relationship Id="rId618" Type="http://schemas.openxmlformats.org/officeDocument/2006/relationships/hyperlink" Target="https://www.flightradar24.com/data/aircraft/tc-fbo" TargetMode="External"/><Relationship Id="rId825" Type="http://schemas.openxmlformats.org/officeDocument/2006/relationships/hyperlink" Target="https://www.flightradar24.com/data/flights/sn2063" TargetMode="External"/><Relationship Id="rId257" Type="http://schemas.openxmlformats.org/officeDocument/2006/relationships/hyperlink" Target="https://www.flightradar24.com/data/aircraft/oo-jaf" TargetMode="External"/><Relationship Id="rId464" Type="http://schemas.openxmlformats.org/officeDocument/2006/relationships/hyperlink" Target="https://www.flightradar24.com/data/airlines/sn-bel" TargetMode="External"/><Relationship Id="rId1010" Type="http://schemas.openxmlformats.org/officeDocument/2006/relationships/hyperlink" Target="https://www.flightradar24.com/data/flights/tb2161" TargetMode="External"/><Relationship Id="rId1094" Type="http://schemas.openxmlformats.org/officeDocument/2006/relationships/hyperlink" Target="https://www.flightradar24.com/data/flights/vy1471" TargetMode="External"/><Relationship Id="rId1108" Type="http://schemas.openxmlformats.org/officeDocument/2006/relationships/hyperlink" Target="https://www.flightradar24.com/data/flights/az149" TargetMode="External"/><Relationship Id="rId117" Type="http://schemas.openxmlformats.org/officeDocument/2006/relationships/hyperlink" Target="https://www.flightradar24.com/data/airlines/sn-bel" TargetMode="External"/><Relationship Id="rId671" Type="http://schemas.openxmlformats.org/officeDocument/2006/relationships/hyperlink" Target="https://www.flightradar24.com/data/flights/k4645" TargetMode="External"/><Relationship Id="rId769" Type="http://schemas.openxmlformats.org/officeDocument/2006/relationships/hyperlink" Target="https://www.flightradar24.com/data/aircraft/c-gefa" TargetMode="External"/><Relationship Id="rId976" Type="http://schemas.openxmlformats.org/officeDocument/2006/relationships/hyperlink" Target="https://www.flightradar24.com/data/airports/tfs" TargetMode="External"/><Relationship Id="rId324" Type="http://schemas.openxmlformats.org/officeDocument/2006/relationships/hyperlink" Target="https://www.flightradar24.com/data/airlines/x3-tui" TargetMode="External"/><Relationship Id="rId531" Type="http://schemas.openxmlformats.org/officeDocument/2006/relationships/hyperlink" Target="https://www.flightradar24.com/data/flights/ac826" TargetMode="External"/><Relationship Id="rId629" Type="http://schemas.openxmlformats.org/officeDocument/2006/relationships/hyperlink" Target="https://www.flightradar24.com/data/airlines/sn-bel" TargetMode="External"/><Relationship Id="rId1161" Type="http://schemas.openxmlformats.org/officeDocument/2006/relationships/hyperlink" Target="https://www.flightradar24.com/data/airports/nce" TargetMode="External"/><Relationship Id="rId836" Type="http://schemas.openxmlformats.org/officeDocument/2006/relationships/hyperlink" Target="https://www.flightradar24.com/data/aircraft/a6-blm" TargetMode="External"/><Relationship Id="rId1021" Type="http://schemas.openxmlformats.org/officeDocument/2006/relationships/hyperlink" Target="https://www.flightradar24.com/data/airlines/sk-sas" TargetMode="External"/><Relationship Id="rId1119" Type="http://schemas.openxmlformats.org/officeDocument/2006/relationships/hyperlink" Target="https://www.flightradar24.com/data/flights/hv9009" TargetMode="External"/><Relationship Id="rId903" Type="http://schemas.openxmlformats.org/officeDocument/2006/relationships/hyperlink" Target="https://www.flightradar24.com/data/airports/mad" TargetMode="External"/><Relationship Id="rId32" Type="http://schemas.openxmlformats.org/officeDocument/2006/relationships/hyperlink" Target="https://www.flightradar24.com/data/airports/opo" TargetMode="External"/><Relationship Id="rId181" Type="http://schemas.openxmlformats.org/officeDocument/2006/relationships/hyperlink" Target="https://www.flightradar24.com/data/airlines/sn-bel" TargetMode="External"/><Relationship Id="rId279" Type="http://schemas.openxmlformats.org/officeDocument/2006/relationships/hyperlink" Target="https://www.flightradar24.com/data/aircraft/oo-jax" TargetMode="External"/><Relationship Id="rId486" Type="http://schemas.openxmlformats.org/officeDocument/2006/relationships/hyperlink" Target="https://www.flightradar24.com/data/airlines/sn-bel" TargetMode="External"/><Relationship Id="rId693" Type="http://schemas.openxmlformats.org/officeDocument/2006/relationships/hyperlink" Target="https://www.flightradar24.com/data/airlines/sn-bel" TargetMode="External"/><Relationship Id="rId139" Type="http://schemas.openxmlformats.org/officeDocument/2006/relationships/hyperlink" Target="https://www.flightradar24.com/data/airlines/sn-bel" TargetMode="External"/><Relationship Id="rId346" Type="http://schemas.openxmlformats.org/officeDocument/2006/relationships/hyperlink" Target="https://www.flightradar24.com/data/airlines/sn-bel" TargetMode="External"/><Relationship Id="rId553" Type="http://schemas.openxmlformats.org/officeDocument/2006/relationships/hyperlink" Target="https://www.flightradar24.com/data/airlines/xq-sxs" TargetMode="External"/><Relationship Id="rId760" Type="http://schemas.openxmlformats.org/officeDocument/2006/relationships/hyperlink" Target="https://www.flightradar24.com/data/airports/opo" TargetMode="External"/><Relationship Id="rId998" Type="http://schemas.openxmlformats.org/officeDocument/2006/relationships/hyperlink" Target="https://www.flightradar24.com/data/aircraft/oo-ssa" TargetMode="External"/><Relationship Id="rId1183" Type="http://schemas.openxmlformats.org/officeDocument/2006/relationships/hyperlink" Target="https://www.flightradar24.com/data/aircraft/tc-spj" TargetMode="External"/><Relationship Id="rId206" Type="http://schemas.openxmlformats.org/officeDocument/2006/relationships/hyperlink" Target="https://www.flightradar24.com/data/aircraft/oo-ssv" TargetMode="External"/><Relationship Id="rId413" Type="http://schemas.openxmlformats.org/officeDocument/2006/relationships/hyperlink" Target="https://www.flightradar24.com/data/airports/bcn" TargetMode="External"/><Relationship Id="rId858" Type="http://schemas.openxmlformats.org/officeDocument/2006/relationships/hyperlink" Target="https://www.flightradar24.com/data/airports/ath" TargetMode="External"/><Relationship Id="rId1043" Type="http://schemas.openxmlformats.org/officeDocument/2006/relationships/hyperlink" Target="https://www.flightradar24.com/data/aircraft/ec-llm" TargetMode="External"/><Relationship Id="rId620" Type="http://schemas.openxmlformats.org/officeDocument/2006/relationships/hyperlink" Target="https://www.flightradar24.com/data/airports/lej" TargetMode="External"/><Relationship Id="rId718" Type="http://schemas.openxmlformats.org/officeDocument/2006/relationships/hyperlink" Target="https://www.flightradar24.com/data/aircraft/oo-sso" TargetMode="External"/><Relationship Id="rId925" Type="http://schemas.openxmlformats.org/officeDocument/2006/relationships/hyperlink" Target="https://www.flightradar24.com/data/airlines/vf-tkj" TargetMode="External"/><Relationship Id="rId1110" Type="http://schemas.openxmlformats.org/officeDocument/2006/relationships/hyperlink" Target="https://www.flightradar24.com/data/airlines/az-ity" TargetMode="External"/><Relationship Id="rId1208" Type="http://schemas.openxmlformats.org/officeDocument/2006/relationships/hyperlink" Target="https://www.flightradar24.com/data/aircraft/d-cicu" TargetMode="External"/><Relationship Id="rId54" Type="http://schemas.openxmlformats.org/officeDocument/2006/relationships/hyperlink" Target="https://www.flightradar24.com/data/aircraft/ln-rgm" TargetMode="External"/><Relationship Id="rId270" Type="http://schemas.openxmlformats.org/officeDocument/2006/relationships/hyperlink" Target="https://www.flightradar24.com/data/airports/muc" TargetMode="External"/><Relationship Id="rId130" Type="http://schemas.openxmlformats.org/officeDocument/2006/relationships/hyperlink" Target="https://www.flightradar24.com/data/flights/tb2182" TargetMode="External"/><Relationship Id="rId368" Type="http://schemas.openxmlformats.org/officeDocument/2006/relationships/hyperlink" Target="https://www.flightradar24.com/data/airports/gva" TargetMode="External"/><Relationship Id="rId575" Type="http://schemas.openxmlformats.org/officeDocument/2006/relationships/hyperlink" Target="https://www.flightradar24.com/data/flights/sn465" TargetMode="External"/><Relationship Id="rId782" Type="http://schemas.openxmlformats.org/officeDocument/2006/relationships/hyperlink" Target="https://www.flightradar24.com/data/flights/ua973" TargetMode="External"/><Relationship Id="rId228" Type="http://schemas.openxmlformats.org/officeDocument/2006/relationships/hyperlink" Target="https://www.flightradar24.com/data/airlines/gq-seh" TargetMode="External"/><Relationship Id="rId435" Type="http://schemas.openxmlformats.org/officeDocument/2006/relationships/hyperlink" Target="https://www.flightradar24.com/data/airports/arn" TargetMode="External"/><Relationship Id="rId642" Type="http://schemas.openxmlformats.org/officeDocument/2006/relationships/hyperlink" Target="https://www.flightradar24.com/data/aircraft/tc-spa" TargetMode="External"/><Relationship Id="rId1065" Type="http://schemas.openxmlformats.org/officeDocument/2006/relationships/hyperlink" Target="https://www.flightradar24.com/data/flights/h5721" TargetMode="External"/><Relationship Id="rId502" Type="http://schemas.openxmlformats.org/officeDocument/2006/relationships/hyperlink" Target="https://www.flightradar24.com/data/airlines/lh-dlh" TargetMode="External"/><Relationship Id="rId947" Type="http://schemas.openxmlformats.org/officeDocument/2006/relationships/hyperlink" Target="https://www.flightradar24.com/data/airports/psa" TargetMode="External"/><Relationship Id="rId1132" Type="http://schemas.openxmlformats.org/officeDocument/2006/relationships/hyperlink" Target="https://www.flightradar24.com/data/aircraft/cs-ttp" TargetMode="External"/><Relationship Id="rId76" Type="http://schemas.openxmlformats.org/officeDocument/2006/relationships/hyperlink" Target="https://www.flightradar24.com/data/airlines/sn-bel" TargetMode="External"/><Relationship Id="rId807" Type="http://schemas.openxmlformats.org/officeDocument/2006/relationships/hyperlink" Target="https://www.flightradar24.com/data/airlines/sk-sas" TargetMode="External"/><Relationship Id="rId292" Type="http://schemas.openxmlformats.org/officeDocument/2006/relationships/hyperlink" Target="https://www.flightradar24.com/data/airlines/sn-bel" TargetMode="External"/><Relationship Id="rId597" Type="http://schemas.openxmlformats.org/officeDocument/2006/relationships/hyperlink" Target="https://www.flightradar24.com/data/airports/lej" TargetMode="External"/><Relationship Id="rId152" Type="http://schemas.openxmlformats.org/officeDocument/2006/relationships/hyperlink" Target="https://www.flightradar24.com/data/flights/sn3256" TargetMode="External"/><Relationship Id="rId457" Type="http://schemas.openxmlformats.org/officeDocument/2006/relationships/hyperlink" Target="https://www.flightradar24.com/data/aircraft/oo-sss" TargetMode="External"/><Relationship Id="rId1087" Type="http://schemas.openxmlformats.org/officeDocument/2006/relationships/hyperlink" Target="https://www.flightradar24.com/data/airports/lpa" TargetMode="External"/><Relationship Id="rId664" Type="http://schemas.openxmlformats.org/officeDocument/2006/relationships/hyperlink" Target="https://www.flightradar24.com/data/airports/mad" TargetMode="External"/><Relationship Id="rId871" Type="http://schemas.openxmlformats.org/officeDocument/2006/relationships/hyperlink" Target="https://www.flightradar24.com/data/airlines/ua-ual" TargetMode="External"/><Relationship Id="rId969" Type="http://schemas.openxmlformats.org/officeDocument/2006/relationships/hyperlink" Target="https://www.flightradar24.com/data/airlines/h7-hym" TargetMode="External"/><Relationship Id="rId317" Type="http://schemas.openxmlformats.org/officeDocument/2006/relationships/hyperlink" Target="https://www.flightradar24.com/data/airlines/sn-bel" TargetMode="External"/><Relationship Id="rId524" Type="http://schemas.openxmlformats.org/officeDocument/2006/relationships/hyperlink" Target="https://www.flightradar24.com/data/aircraft/n17017" TargetMode="External"/><Relationship Id="rId731" Type="http://schemas.openxmlformats.org/officeDocument/2006/relationships/hyperlink" Target="https://www.flightradar24.com/data/aircraft/yl-abm" TargetMode="External"/><Relationship Id="rId1154" Type="http://schemas.openxmlformats.org/officeDocument/2006/relationships/hyperlink" Target="https://www.flightradar24.com/data/airports/lin" TargetMode="External"/><Relationship Id="rId98" Type="http://schemas.openxmlformats.org/officeDocument/2006/relationships/hyperlink" Target="https://www.flightradar24.com/data/airlines/fh-fhy" TargetMode="External"/><Relationship Id="rId829" Type="http://schemas.openxmlformats.org/officeDocument/2006/relationships/hyperlink" Target="https://www.flightradar24.com/data/flights/sn3245" TargetMode="External"/><Relationship Id="rId1014" Type="http://schemas.openxmlformats.org/officeDocument/2006/relationships/hyperlink" Target="https://www.flightradar24.com/data/airports/ewr" TargetMode="External"/><Relationship Id="rId1221" Type="http://schemas.openxmlformats.org/officeDocument/2006/relationships/hyperlink" Target="https://www.flightradar24.com/data/airports/gva" TargetMode="External"/><Relationship Id="rId25" Type="http://schemas.openxmlformats.org/officeDocument/2006/relationships/hyperlink" Target="https://www.flightradar24.com/data/airports/ayt" TargetMode="External"/><Relationship Id="rId174" Type="http://schemas.openxmlformats.org/officeDocument/2006/relationships/hyperlink" Target="https://www.flightradar24.com/data/airports/arn" TargetMode="External"/><Relationship Id="rId381" Type="http://schemas.openxmlformats.org/officeDocument/2006/relationships/hyperlink" Target="https://www.flightradar24.com/data/flights/sn2106" TargetMode="External"/><Relationship Id="rId241" Type="http://schemas.openxmlformats.org/officeDocument/2006/relationships/hyperlink" Target="https://www.flightradar24.com/data/airports/kef" TargetMode="External"/><Relationship Id="rId479" Type="http://schemas.openxmlformats.org/officeDocument/2006/relationships/hyperlink" Target="https://www.flightradar24.com/data/aircraft/oo-ssv" TargetMode="External"/><Relationship Id="rId686" Type="http://schemas.openxmlformats.org/officeDocument/2006/relationships/hyperlink" Target="https://www.flightradar24.com/data/aircraft/ei-imv" TargetMode="External"/><Relationship Id="rId893" Type="http://schemas.openxmlformats.org/officeDocument/2006/relationships/hyperlink" Target="https://www.flightradar24.com/data/airports/kgs" TargetMode="External"/><Relationship Id="rId339" Type="http://schemas.openxmlformats.org/officeDocument/2006/relationships/hyperlink" Target="https://www.flightradar24.com/data/aircraft/oo-ssy" TargetMode="External"/><Relationship Id="rId546" Type="http://schemas.openxmlformats.org/officeDocument/2006/relationships/hyperlink" Target="https://www.flightradar24.com/data/airports/ber" TargetMode="External"/><Relationship Id="rId753" Type="http://schemas.openxmlformats.org/officeDocument/2006/relationships/hyperlink" Target="https://www.flightradar24.com/data/airports/arn" TargetMode="External"/><Relationship Id="rId1176" Type="http://schemas.openxmlformats.org/officeDocument/2006/relationships/hyperlink" Target="https://www.flightradar24.com/data/airlines/-gac" TargetMode="External"/><Relationship Id="rId101" Type="http://schemas.openxmlformats.org/officeDocument/2006/relationships/hyperlink" Target="https://www.flightradar24.com/data/aircraft/d-anne" TargetMode="External"/><Relationship Id="rId406" Type="http://schemas.openxmlformats.org/officeDocument/2006/relationships/hyperlink" Target="https://www.flightradar24.com/data/airlines/vy-vlg" TargetMode="External"/><Relationship Id="rId960" Type="http://schemas.openxmlformats.org/officeDocument/2006/relationships/hyperlink" Target="https://www.flightradar24.com/data/flights/sn3781" TargetMode="External"/><Relationship Id="rId1036" Type="http://schemas.openxmlformats.org/officeDocument/2006/relationships/hyperlink" Target="https://www.flightradar24.com/data/airlines/os-aua" TargetMode="External"/><Relationship Id="rId613" Type="http://schemas.openxmlformats.org/officeDocument/2006/relationships/hyperlink" Target="https://www.flightradar24.com/data/airlines/x3-tui" TargetMode="External"/><Relationship Id="rId820" Type="http://schemas.openxmlformats.org/officeDocument/2006/relationships/hyperlink" Target="https://www.flightradar24.com/data/aircraft/ec-mbs" TargetMode="External"/><Relationship Id="rId918" Type="http://schemas.openxmlformats.org/officeDocument/2006/relationships/hyperlink" Target="https://www.flightradar24.com/data/aircraft/ts-imt" TargetMode="External"/><Relationship Id="rId1103" Type="http://schemas.openxmlformats.org/officeDocument/2006/relationships/hyperlink" Target="https://www.flightradar24.com/data/aircraft/oo-snb" TargetMode="External"/><Relationship Id="rId47" Type="http://schemas.openxmlformats.org/officeDocument/2006/relationships/hyperlink" Target="https://www.flightradar24.com/data/aircraft/oo-tcv" TargetMode="External"/><Relationship Id="rId196" Type="http://schemas.openxmlformats.org/officeDocument/2006/relationships/hyperlink" Target="https://www.flightradar24.com/data/airports/rmu" TargetMode="External"/><Relationship Id="rId263" Type="http://schemas.openxmlformats.org/officeDocument/2006/relationships/hyperlink" Target="https://www.flightradar24.com/data/airports/otp" TargetMode="External"/><Relationship Id="rId470" Type="http://schemas.openxmlformats.org/officeDocument/2006/relationships/hyperlink" Target="https://www.flightradar24.com/data/airlines/sn-bel" TargetMode="External"/><Relationship Id="rId123" Type="http://schemas.openxmlformats.org/officeDocument/2006/relationships/hyperlink" Target="https://www.flightradar24.com/data/flights/xr1783" TargetMode="External"/><Relationship Id="rId330" Type="http://schemas.openxmlformats.org/officeDocument/2006/relationships/hyperlink" Target="https://www.flightradar24.com/data/aircraft/ei-hxa" TargetMode="External"/><Relationship Id="rId568" Type="http://schemas.openxmlformats.org/officeDocument/2006/relationships/hyperlink" Target="https://www.flightradar24.com/data/aircraft/b-208s" TargetMode="External"/><Relationship Id="rId775" Type="http://schemas.openxmlformats.org/officeDocument/2006/relationships/hyperlink" Target="https://www.flightradar24.com/data/airports/bcm" TargetMode="External"/><Relationship Id="rId982" Type="http://schemas.openxmlformats.org/officeDocument/2006/relationships/hyperlink" Target="https://www.flightradar24.com/data/flights/sn2213" TargetMode="External"/><Relationship Id="rId1198" Type="http://schemas.openxmlformats.org/officeDocument/2006/relationships/hyperlink" Target="https://www.flightradar24.com/data/aircraft/cn-rgw" TargetMode="External"/><Relationship Id="rId428" Type="http://schemas.openxmlformats.org/officeDocument/2006/relationships/hyperlink" Target="https://www.flightradar24.com/data/airports/dub" TargetMode="External"/><Relationship Id="rId635" Type="http://schemas.openxmlformats.org/officeDocument/2006/relationships/hyperlink" Target="https://www.flightradar24.com/data/flights/u21528" TargetMode="External"/><Relationship Id="rId842" Type="http://schemas.openxmlformats.org/officeDocument/2006/relationships/hyperlink" Target="https://www.flightradar24.com/data/airports/mrs" TargetMode="External"/><Relationship Id="rId1058" Type="http://schemas.openxmlformats.org/officeDocument/2006/relationships/hyperlink" Target="https://www.flightradar24.com/data/flights/xr7651" TargetMode="External"/><Relationship Id="rId702" Type="http://schemas.openxmlformats.org/officeDocument/2006/relationships/hyperlink" Target="https://www.flightradar24.com/data/aircraft/oo-ssv" TargetMode="External"/><Relationship Id="rId1125" Type="http://schemas.openxmlformats.org/officeDocument/2006/relationships/hyperlink" Target="https://www.flightradar24.com/data/aircraft/ln-rgm" TargetMode="External"/><Relationship Id="rId69" Type="http://schemas.openxmlformats.org/officeDocument/2006/relationships/hyperlink" Target="https://www.flightradar24.com/data/airports/arn" TargetMode="External"/><Relationship Id="rId285" Type="http://schemas.openxmlformats.org/officeDocument/2006/relationships/hyperlink" Target="https://www.flightradar24.com/data/airports/saw" TargetMode="External"/><Relationship Id="rId492" Type="http://schemas.openxmlformats.org/officeDocument/2006/relationships/hyperlink" Target="https://www.flightradar24.com/data/aircraft/oo-ssf" TargetMode="External"/><Relationship Id="rId797" Type="http://schemas.openxmlformats.org/officeDocument/2006/relationships/hyperlink" Target="https://www.flightradar24.com/data/flights/sn467" TargetMode="External"/><Relationship Id="rId145" Type="http://schemas.openxmlformats.org/officeDocument/2006/relationships/hyperlink" Target="https://www.flightradar24.com/data/flights/sn3618" TargetMode="External"/><Relationship Id="rId352" Type="http://schemas.openxmlformats.org/officeDocument/2006/relationships/hyperlink" Target="https://www.flightradar24.com/data/airlines/sn-bel" TargetMode="External"/><Relationship Id="rId212" Type="http://schemas.openxmlformats.org/officeDocument/2006/relationships/hyperlink" Target="https://www.flightradar24.com/data/airports/dxb" TargetMode="External"/><Relationship Id="rId657" Type="http://schemas.openxmlformats.org/officeDocument/2006/relationships/hyperlink" Target="https://www.flightradar24.com/data/airlines/sn-bel" TargetMode="External"/><Relationship Id="rId864" Type="http://schemas.openxmlformats.org/officeDocument/2006/relationships/hyperlink" Target="https://www.flightradar24.com/data/aircraft/g-neor" TargetMode="External"/><Relationship Id="rId517" Type="http://schemas.openxmlformats.org/officeDocument/2006/relationships/hyperlink" Target="https://www.flightradar24.com/data/airlines/ts-tsc" TargetMode="External"/><Relationship Id="rId724" Type="http://schemas.openxmlformats.org/officeDocument/2006/relationships/hyperlink" Target="https://www.flightradar24.com/data/airlines/sn-bel" TargetMode="External"/><Relationship Id="rId931" Type="http://schemas.openxmlformats.org/officeDocument/2006/relationships/hyperlink" Target="https://www.flightradar24.com/data/flights/tb2511" TargetMode="External"/><Relationship Id="rId1147" Type="http://schemas.openxmlformats.org/officeDocument/2006/relationships/hyperlink" Target="https://www.flightradar24.com/data/airports/ber" TargetMode="External"/><Relationship Id="rId60" Type="http://schemas.openxmlformats.org/officeDocument/2006/relationships/hyperlink" Target="https://www.flightradar24.com/data/flights/sn3598" TargetMode="External"/><Relationship Id="rId1007" Type="http://schemas.openxmlformats.org/officeDocument/2006/relationships/hyperlink" Target="https://www.flightradar24.com/data/airports/lju" TargetMode="External"/><Relationship Id="rId1214" Type="http://schemas.openxmlformats.org/officeDocument/2006/relationships/hyperlink" Target="https://www.flightradar24.com/data/airports/dxb" TargetMode="External"/><Relationship Id="rId18" Type="http://schemas.openxmlformats.org/officeDocument/2006/relationships/hyperlink" Target="https://www.flightradar24.com/data/flights/" TargetMode="External"/><Relationship Id="rId167" Type="http://schemas.openxmlformats.org/officeDocument/2006/relationships/hyperlink" Target="https://www.flightradar24.com/data/flights/tb3581" TargetMode="External"/><Relationship Id="rId374" Type="http://schemas.openxmlformats.org/officeDocument/2006/relationships/hyperlink" Target="https://www.flightradar24.com/data/aircraft/ec-nzr" TargetMode="External"/><Relationship Id="rId581" Type="http://schemas.openxmlformats.org/officeDocument/2006/relationships/hyperlink" Target="https://www.flightradar24.com/data/airports/vi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1247-8ADC-F942-8B19-7F80F5910D62}">
  <sheetPr codeName="Sheet1"/>
  <dimension ref="A1:T278"/>
  <sheetViews>
    <sheetView tabSelected="1" zoomScale="80" zoomScaleNormal="80" workbookViewId="0">
      <pane ySplit="2" topLeftCell="A3" activePane="bottomLeft" state="frozen"/>
      <selection pane="bottomLeft" activeCell="F13" sqref="F13"/>
    </sheetView>
  </sheetViews>
  <sheetFormatPr baseColWidth="10" defaultRowHeight="16" x14ac:dyDescent="0.2"/>
  <cols>
    <col min="1" max="1" width="9.1640625" style="23" customWidth="1"/>
    <col min="2" max="2" width="9.6640625" bestFit="1" customWidth="1"/>
    <col min="3" max="3" width="21.5" bestFit="1" customWidth="1"/>
    <col min="4" max="4" width="18" customWidth="1"/>
    <col min="5" max="5" width="15.6640625" bestFit="1" customWidth="1"/>
    <col min="6" max="6" width="9.83203125" style="23" customWidth="1"/>
    <col min="7" max="7" width="3" style="31" customWidth="1"/>
    <col min="8" max="8" width="9.1640625" style="23" customWidth="1"/>
    <col min="9" max="9" width="9.6640625" bestFit="1" customWidth="1"/>
    <col min="10" max="10" width="21.5" bestFit="1" customWidth="1"/>
    <col min="11" max="11" width="17" customWidth="1"/>
    <col min="12" max="12" width="15.6640625" bestFit="1" customWidth="1"/>
    <col min="13" max="13" width="9.83203125" style="26" customWidth="1"/>
    <col min="14" max="14" width="10.83203125" style="9" customWidth="1"/>
    <col min="15" max="17" width="10.83203125" style="9"/>
    <col min="18" max="18" width="10.83203125" style="10"/>
    <col min="19" max="19" width="10.83203125" style="3"/>
    <col min="20" max="20" width="10.83203125" style="18"/>
  </cols>
  <sheetData>
    <row r="1" spans="1:20" ht="24" x14ac:dyDescent="0.2">
      <c r="A1" s="33" t="s">
        <v>161</v>
      </c>
      <c r="B1" s="33"/>
      <c r="C1" s="33"/>
      <c r="D1" s="33"/>
      <c r="E1" s="33"/>
      <c r="F1" s="33"/>
      <c r="G1" s="29"/>
      <c r="H1" s="33" t="s">
        <v>162</v>
      </c>
      <c r="I1" s="33"/>
      <c r="J1" s="33"/>
      <c r="K1" s="33"/>
      <c r="L1" s="33"/>
      <c r="M1" s="33"/>
      <c r="N1"/>
      <c r="O1"/>
      <c r="P1"/>
      <c r="Q1"/>
      <c r="R1"/>
      <c r="S1"/>
      <c r="T1"/>
    </row>
    <row r="2" spans="1:20" s="11" customFormat="1" ht="34" x14ac:dyDescent="0.25">
      <c r="A2" s="16" t="s">
        <v>830</v>
      </c>
      <c r="B2" s="16" t="s">
        <v>834</v>
      </c>
      <c r="C2" s="16" t="s">
        <v>835</v>
      </c>
      <c r="D2" s="16" t="s">
        <v>50</v>
      </c>
      <c r="E2" s="16" t="s">
        <v>836</v>
      </c>
      <c r="F2" s="16" t="s">
        <v>831</v>
      </c>
      <c r="G2" s="30"/>
      <c r="H2" s="16" t="s">
        <v>832</v>
      </c>
      <c r="I2" s="16" t="s">
        <v>834</v>
      </c>
      <c r="J2" s="16" t="s">
        <v>837</v>
      </c>
      <c r="K2" s="16" t="s">
        <v>50</v>
      </c>
      <c r="L2" s="16" t="s">
        <v>836</v>
      </c>
      <c r="M2" s="28" t="s">
        <v>833</v>
      </c>
      <c r="N2" s="12" t="s">
        <v>163</v>
      </c>
      <c r="O2" s="12" t="s">
        <v>164</v>
      </c>
      <c r="P2" s="12" t="s">
        <v>165</v>
      </c>
      <c r="Q2" s="12" t="s">
        <v>166</v>
      </c>
      <c r="R2" s="12" t="s">
        <v>167</v>
      </c>
      <c r="S2" s="12" t="s">
        <v>842</v>
      </c>
      <c r="T2" s="12" t="s">
        <v>838</v>
      </c>
    </row>
    <row r="3" spans="1:20" ht="18" x14ac:dyDescent="0.25">
      <c r="A3" s="21">
        <v>0.47569444444444442</v>
      </c>
      <c r="B3" s="14" t="s">
        <v>168</v>
      </c>
      <c r="C3" s="17" t="s">
        <v>169</v>
      </c>
      <c r="D3" s="17" t="s">
        <v>170</v>
      </c>
      <c r="E3" s="17" t="s">
        <v>171</v>
      </c>
      <c r="F3" s="21">
        <v>0.46875</v>
      </c>
      <c r="H3" s="21">
        <v>0.50347222222222221</v>
      </c>
      <c r="I3" s="14" t="s">
        <v>172</v>
      </c>
      <c r="J3" s="17" t="s">
        <v>169</v>
      </c>
      <c r="K3" s="17" t="s">
        <v>170</v>
      </c>
      <c r="L3" s="17" t="s">
        <v>171</v>
      </c>
      <c r="M3" s="25">
        <v>0.5180555555555556</v>
      </c>
      <c r="N3" s="13" t="str">
        <f t="shared" ref="N3" si="0">IF(F3&lt;A3, "-"&amp;TEXT(ABS(F3-A3), "hh:mm"), TEXT(F3-A3, "hh:mm"))</f>
        <v>-00:10</v>
      </c>
      <c r="O3" s="13" t="str">
        <f t="shared" ref="O3" si="1">IF(M3&lt;H3, "-"&amp;TEXT(ABS(M3-H3), "hh:mm"), TEXT(M3-H3, "hh:mm"))</f>
        <v>00:21</v>
      </c>
      <c r="P3" s="4">
        <f t="shared" ref="P3" si="2">H3-A3</f>
        <v>2.777777777777779E-2</v>
      </c>
      <c r="Q3" s="4">
        <f t="shared" ref="Q3" si="3">M3-F3</f>
        <v>4.9305555555555602E-2</v>
      </c>
      <c r="R3" s="5" t="str">
        <f>IF(Q3&lt;P3, "-"&amp;TEXT(ABS(Q3-P3), "hh:mm"), TEXT(Q3-P3, "hh:mm"))</f>
        <v>00:31</v>
      </c>
      <c r="S3" s="3">
        <v>34.799999999999997</v>
      </c>
      <c r="T3" s="18" t="str">
        <f>IF(C3=J3, "Yes", "No")</f>
        <v>Yes</v>
      </c>
    </row>
    <row r="4" spans="1:20" ht="18" x14ac:dyDescent="0.25">
      <c r="A4" s="21">
        <v>0.56944444444444442</v>
      </c>
      <c r="B4" s="17" t="s">
        <v>173</v>
      </c>
      <c r="C4" s="17" t="s">
        <v>174</v>
      </c>
      <c r="D4" s="17" t="s">
        <v>175</v>
      </c>
      <c r="E4" s="17" t="s">
        <v>176</v>
      </c>
      <c r="F4" s="21">
        <v>0.56597222222222221</v>
      </c>
      <c r="H4" s="21">
        <v>0.59722222222222221</v>
      </c>
      <c r="I4" s="14" t="s">
        <v>177</v>
      </c>
      <c r="J4" s="17" t="s">
        <v>174</v>
      </c>
      <c r="K4" s="17" t="s">
        <v>175</v>
      </c>
      <c r="L4" s="17" t="s">
        <v>176</v>
      </c>
      <c r="M4" s="25">
        <v>0.60833333333333328</v>
      </c>
      <c r="N4" s="13" t="str">
        <f t="shared" ref="N4:N67" si="4">IF(F4&lt;A4, "-"&amp;TEXT(ABS(F4-A4), "hh:mm"), TEXT(F4-A4, "hh:mm"))</f>
        <v>-00:05</v>
      </c>
      <c r="O4" s="13" t="str">
        <f t="shared" ref="O4:O67" si="5">IF(M4&lt;H4, "-"&amp;TEXT(ABS(M4-H4), "hh:mm"), TEXT(M4-H4, "hh:mm"))</f>
        <v>00:16</v>
      </c>
      <c r="P4" s="4">
        <f t="shared" ref="P4:P67" si="6">H4-A4</f>
        <v>2.777777777777779E-2</v>
      </c>
      <c r="Q4" s="4">
        <f t="shared" ref="Q4:Q67" si="7">M4-F4</f>
        <v>4.2361111111111072E-2</v>
      </c>
      <c r="R4" s="5" t="str">
        <f t="shared" ref="R4:R67" si="8">IF(Q4&lt;P4, "-"&amp;TEXT(ABS(Q4-P4), "hh:mm"), TEXT(Q4-P4, "hh:mm"))</f>
        <v>00:21</v>
      </c>
      <c r="S4" s="3">
        <v>35.799999999999997</v>
      </c>
      <c r="T4" s="18" t="str">
        <f t="shared" ref="T4:T67" si="9">IF(C4=J4, "Yes", "No")</f>
        <v>Yes</v>
      </c>
    </row>
    <row r="5" spans="1:20" ht="18" x14ac:dyDescent="0.25">
      <c r="A5" s="21">
        <v>0.63888888888888895</v>
      </c>
      <c r="B5" s="14" t="s">
        <v>178</v>
      </c>
      <c r="C5" s="17" t="s">
        <v>179</v>
      </c>
      <c r="D5" s="17" t="s">
        <v>175</v>
      </c>
      <c r="E5" s="17" t="s">
        <v>180</v>
      </c>
      <c r="F5" s="21">
        <v>0.64027777777777783</v>
      </c>
      <c r="H5" s="21">
        <v>0.66666666666666663</v>
      </c>
      <c r="I5" s="14" t="s">
        <v>181</v>
      </c>
      <c r="J5" s="17" t="s">
        <v>179</v>
      </c>
      <c r="K5" s="17" t="s">
        <v>175</v>
      </c>
      <c r="L5" s="17" t="s">
        <v>180</v>
      </c>
      <c r="M5" s="25">
        <v>0.66666666666666663</v>
      </c>
      <c r="N5" s="13" t="str">
        <f t="shared" si="4"/>
        <v>00:02</v>
      </c>
      <c r="O5" s="13" t="str">
        <f t="shared" si="5"/>
        <v>00:00</v>
      </c>
      <c r="P5" s="4">
        <f t="shared" si="6"/>
        <v>2.7777777777777679E-2</v>
      </c>
      <c r="Q5" s="4">
        <f t="shared" si="7"/>
        <v>2.6388888888888795E-2</v>
      </c>
      <c r="R5" s="5" t="str">
        <f t="shared" si="8"/>
        <v>-00:02</v>
      </c>
      <c r="S5" s="3">
        <v>35.799999999999997</v>
      </c>
      <c r="T5" s="18" t="str">
        <f t="shared" si="9"/>
        <v>Yes</v>
      </c>
    </row>
    <row r="6" spans="1:20" ht="18" x14ac:dyDescent="0.25">
      <c r="A6" s="21">
        <v>0.46180555555555558</v>
      </c>
      <c r="B6" s="14" t="s">
        <v>182</v>
      </c>
      <c r="C6" s="17" t="s">
        <v>183</v>
      </c>
      <c r="D6" s="17" t="s">
        <v>184</v>
      </c>
      <c r="E6" s="17" t="s">
        <v>185</v>
      </c>
      <c r="F6" s="21">
        <v>0.4513888888888889</v>
      </c>
      <c r="H6" s="21">
        <v>0.49652777777777773</v>
      </c>
      <c r="I6" s="17" t="s">
        <v>186</v>
      </c>
      <c r="J6" s="17" t="s">
        <v>187</v>
      </c>
      <c r="K6" s="17" t="s">
        <v>184</v>
      </c>
      <c r="L6" s="17" t="s">
        <v>185</v>
      </c>
      <c r="M6" s="25">
        <v>0.50138888888888888</v>
      </c>
      <c r="N6" s="13" t="str">
        <f t="shared" si="4"/>
        <v>-00:15</v>
      </c>
      <c r="O6" s="13" t="str">
        <f t="shared" si="5"/>
        <v>00:07</v>
      </c>
      <c r="P6" s="4">
        <f t="shared" si="6"/>
        <v>3.4722222222222154E-2</v>
      </c>
      <c r="Q6" s="4">
        <f t="shared" si="7"/>
        <v>4.9999999999999989E-2</v>
      </c>
      <c r="R6" s="5" t="str">
        <f t="shared" si="8"/>
        <v>00:22</v>
      </c>
      <c r="S6" s="3">
        <v>35.799999999999997</v>
      </c>
      <c r="T6" s="18" t="str">
        <f t="shared" si="9"/>
        <v>No</v>
      </c>
    </row>
    <row r="7" spans="1:20" ht="18" x14ac:dyDescent="0.25">
      <c r="A7" s="21">
        <v>0.66666666666666663</v>
      </c>
      <c r="B7" s="14" t="s">
        <v>188</v>
      </c>
      <c r="C7" s="17" t="s">
        <v>189</v>
      </c>
      <c r="D7" s="17" t="s">
        <v>190</v>
      </c>
      <c r="E7" s="17" t="s">
        <v>191</v>
      </c>
      <c r="F7" s="21">
        <v>0.66249999999999998</v>
      </c>
      <c r="H7" s="21">
        <v>0.70486111111111116</v>
      </c>
      <c r="I7" s="14" t="s">
        <v>192</v>
      </c>
      <c r="J7" s="17" t="s">
        <v>193</v>
      </c>
      <c r="K7" s="17" t="s">
        <v>190</v>
      </c>
      <c r="L7" s="17" t="s">
        <v>191</v>
      </c>
      <c r="M7" s="25">
        <v>0.70486111111111116</v>
      </c>
      <c r="N7" s="13" t="str">
        <f t="shared" si="4"/>
        <v>-00:06</v>
      </c>
      <c r="O7" s="13" t="str">
        <f t="shared" si="5"/>
        <v>00:00</v>
      </c>
      <c r="P7" s="4">
        <f t="shared" si="6"/>
        <v>3.8194444444444531E-2</v>
      </c>
      <c r="Q7" s="4">
        <f t="shared" si="7"/>
        <v>4.2361111111111183E-2</v>
      </c>
      <c r="R7" s="5" t="str">
        <f t="shared" si="8"/>
        <v>00:06</v>
      </c>
      <c r="S7" s="3">
        <v>35.799999999999997</v>
      </c>
      <c r="T7" s="18" t="str">
        <f t="shared" si="9"/>
        <v>No</v>
      </c>
    </row>
    <row r="8" spans="1:20" ht="18" x14ac:dyDescent="0.25">
      <c r="A8" s="21">
        <v>0.36805555555555558</v>
      </c>
      <c r="B8" s="14" t="s">
        <v>194</v>
      </c>
      <c r="C8" s="17" t="s">
        <v>193</v>
      </c>
      <c r="D8" s="17" t="s">
        <v>184</v>
      </c>
      <c r="E8" s="17" t="s">
        <v>195</v>
      </c>
      <c r="F8" s="21">
        <v>0.3666666666666667</v>
      </c>
      <c r="H8" s="21">
        <v>0.40972222222222227</v>
      </c>
      <c r="I8" s="14" t="s">
        <v>196</v>
      </c>
      <c r="J8" s="17" t="s">
        <v>193</v>
      </c>
      <c r="K8" s="17" t="s">
        <v>184</v>
      </c>
      <c r="L8" s="17" t="s">
        <v>195</v>
      </c>
      <c r="M8" s="25">
        <v>0.4291666666666667</v>
      </c>
      <c r="N8" s="13" t="str">
        <f t="shared" si="4"/>
        <v>-00:02</v>
      </c>
      <c r="O8" s="13" t="str">
        <f t="shared" si="5"/>
        <v>00:28</v>
      </c>
      <c r="P8" s="4">
        <f t="shared" si="6"/>
        <v>4.1666666666666685E-2</v>
      </c>
      <c r="Q8" s="4">
        <f t="shared" si="7"/>
        <v>6.25E-2</v>
      </c>
      <c r="R8" s="5" t="str">
        <f t="shared" si="8"/>
        <v>00:30</v>
      </c>
      <c r="S8" s="3">
        <v>35.799999999999997</v>
      </c>
      <c r="T8" s="18" t="str">
        <f t="shared" si="9"/>
        <v>Yes</v>
      </c>
    </row>
    <row r="9" spans="1:20" ht="18" x14ac:dyDescent="0.25">
      <c r="A9" s="21">
        <v>0.54861111111111105</v>
      </c>
      <c r="B9" s="14" t="s">
        <v>197</v>
      </c>
      <c r="C9" s="17" t="s">
        <v>193</v>
      </c>
      <c r="D9" s="17" t="s">
        <v>184</v>
      </c>
      <c r="E9" s="17" t="s">
        <v>195</v>
      </c>
      <c r="F9" s="21">
        <v>0.56111111111111112</v>
      </c>
      <c r="H9" s="21">
        <v>0.59375</v>
      </c>
      <c r="I9" s="14" t="s">
        <v>198</v>
      </c>
      <c r="J9" s="17" t="s">
        <v>169</v>
      </c>
      <c r="K9" s="17" t="s">
        <v>184</v>
      </c>
      <c r="L9" s="17" t="s">
        <v>195</v>
      </c>
      <c r="M9" s="25">
        <v>0.61041666666666672</v>
      </c>
      <c r="N9" s="13" t="str">
        <f t="shared" si="4"/>
        <v>00:18</v>
      </c>
      <c r="O9" s="13" t="str">
        <f t="shared" si="5"/>
        <v>00:24</v>
      </c>
      <c r="P9" s="4">
        <f t="shared" si="6"/>
        <v>4.5138888888888951E-2</v>
      </c>
      <c r="Q9" s="4">
        <f t="shared" si="7"/>
        <v>4.9305555555555602E-2</v>
      </c>
      <c r="R9" s="5" t="str">
        <f t="shared" si="8"/>
        <v>00:06</v>
      </c>
      <c r="S9" s="3">
        <v>35.799999999999997</v>
      </c>
      <c r="T9" s="18" t="str">
        <f t="shared" si="9"/>
        <v>No</v>
      </c>
    </row>
    <row r="10" spans="1:20" ht="18" x14ac:dyDescent="0.25">
      <c r="A10" s="21">
        <v>0.42708333333333331</v>
      </c>
      <c r="B10" s="14" t="s">
        <v>199</v>
      </c>
      <c r="C10" s="17" t="s">
        <v>200</v>
      </c>
      <c r="D10" s="17" t="s">
        <v>175</v>
      </c>
      <c r="E10" s="17" t="s">
        <v>201</v>
      </c>
      <c r="F10" s="21">
        <v>0.42430555555555555</v>
      </c>
      <c r="H10" s="21">
        <v>0.4548611111111111</v>
      </c>
      <c r="I10" s="17" t="s">
        <v>202</v>
      </c>
      <c r="J10" s="17" t="s">
        <v>200</v>
      </c>
      <c r="K10" s="17" t="s">
        <v>175</v>
      </c>
      <c r="L10" s="17" t="s">
        <v>201</v>
      </c>
      <c r="M10" s="25">
        <v>0.47083333333333338</v>
      </c>
      <c r="N10" s="13" t="str">
        <f t="shared" si="4"/>
        <v>-00:04</v>
      </c>
      <c r="O10" s="13" t="str">
        <f t="shared" si="5"/>
        <v>00:23</v>
      </c>
      <c r="P10" s="4">
        <f t="shared" si="6"/>
        <v>2.777777777777779E-2</v>
      </c>
      <c r="Q10" s="4">
        <f t="shared" si="7"/>
        <v>4.6527777777777835E-2</v>
      </c>
      <c r="R10" s="5" t="str">
        <f t="shared" si="8"/>
        <v>00:27</v>
      </c>
      <c r="S10" s="3">
        <v>35.799999999999997</v>
      </c>
      <c r="T10" s="18" t="str">
        <f t="shared" si="9"/>
        <v>Yes</v>
      </c>
    </row>
    <row r="11" spans="1:20" ht="18" x14ac:dyDescent="0.25">
      <c r="A11" s="21">
        <v>0.54166666666666663</v>
      </c>
      <c r="B11" s="17" t="s">
        <v>203</v>
      </c>
      <c r="C11" s="17" t="s">
        <v>204</v>
      </c>
      <c r="D11" s="17" t="s">
        <v>205</v>
      </c>
      <c r="E11" s="17" t="s">
        <v>206</v>
      </c>
      <c r="F11" s="21">
        <v>0.56388888888888888</v>
      </c>
      <c r="H11" s="21">
        <v>0.58333333333333337</v>
      </c>
      <c r="I11" s="17" t="s">
        <v>207</v>
      </c>
      <c r="J11" s="17" t="s">
        <v>204</v>
      </c>
      <c r="K11" s="17" t="s">
        <v>205</v>
      </c>
      <c r="L11" s="17" t="s">
        <v>206</v>
      </c>
      <c r="M11" s="25">
        <v>0.61805555555555558</v>
      </c>
      <c r="N11" s="13" t="str">
        <f t="shared" si="4"/>
        <v>00:32</v>
      </c>
      <c r="O11" s="13" t="str">
        <f t="shared" si="5"/>
        <v>00:50</v>
      </c>
      <c r="P11" s="4">
        <f t="shared" si="6"/>
        <v>4.1666666666666741E-2</v>
      </c>
      <c r="Q11" s="4">
        <f t="shared" si="7"/>
        <v>5.4166666666666696E-2</v>
      </c>
      <c r="R11" s="5" t="str">
        <f t="shared" si="8"/>
        <v>00:18</v>
      </c>
      <c r="S11" s="3">
        <v>35.799999999999997</v>
      </c>
      <c r="T11" s="18" t="str">
        <f t="shared" si="9"/>
        <v>Yes</v>
      </c>
    </row>
    <row r="12" spans="1:20" ht="18" x14ac:dyDescent="0.25">
      <c r="A12" s="21">
        <v>0.43055555555555558</v>
      </c>
      <c r="B12" s="14" t="s">
        <v>208</v>
      </c>
      <c r="C12" s="17" t="s">
        <v>204</v>
      </c>
      <c r="D12" s="17" t="s">
        <v>209</v>
      </c>
      <c r="E12" s="17" t="s">
        <v>210</v>
      </c>
      <c r="F12" s="21">
        <v>0.42777777777777781</v>
      </c>
      <c r="H12" s="21">
        <v>0.46527777777777773</v>
      </c>
      <c r="I12" s="17" t="s">
        <v>211</v>
      </c>
      <c r="J12" s="17" t="s">
        <v>204</v>
      </c>
      <c r="K12" s="17" t="s">
        <v>209</v>
      </c>
      <c r="L12" s="17" t="s">
        <v>210</v>
      </c>
      <c r="M12" s="25">
        <v>0.48541666666666666</v>
      </c>
      <c r="N12" s="13" t="str">
        <f t="shared" si="4"/>
        <v>-00:04</v>
      </c>
      <c r="O12" s="13" t="str">
        <f t="shared" si="5"/>
        <v>00:29</v>
      </c>
      <c r="P12" s="4">
        <f t="shared" si="6"/>
        <v>3.4722222222222154E-2</v>
      </c>
      <c r="Q12" s="4">
        <f t="shared" si="7"/>
        <v>5.7638888888888851E-2</v>
      </c>
      <c r="R12" s="5" t="str">
        <f t="shared" si="8"/>
        <v>00:33</v>
      </c>
      <c r="S12" s="3">
        <v>35.799999999999997</v>
      </c>
      <c r="T12" s="18" t="str">
        <f t="shared" si="9"/>
        <v>Yes</v>
      </c>
    </row>
    <row r="13" spans="1:20" ht="18" x14ac:dyDescent="0.25">
      <c r="A13" s="21">
        <v>0.3263888888888889</v>
      </c>
      <c r="B13" s="17" t="s">
        <v>212</v>
      </c>
      <c r="C13" s="17" t="s">
        <v>213</v>
      </c>
      <c r="D13" s="17" t="s">
        <v>214</v>
      </c>
      <c r="E13" s="17" t="s">
        <v>215</v>
      </c>
      <c r="F13" s="21">
        <v>0.33958333333333335</v>
      </c>
      <c r="H13" s="21">
        <v>0.39583333333333331</v>
      </c>
      <c r="I13" s="17" t="s">
        <v>216</v>
      </c>
      <c r="J13" s="17" t="s">
        <v>213</v>
      </c>
      <c r="K13" s="17" t="s">
        <v>214</v>
      </c>
      <c r="L13" s="17" t="s">
        <v>215</v>
      </c>
      <c r="M13" s="25">
        <v>0.41597222222222219</v>
      </c>
      <c r="N13" s="13" t="str">
        <f t="shared" si="4"/>
        <v>00:19</v>
      </c>
      <c r="O13" s="13" t="str">
        <f t="shared" si="5"/>
        <v>00:29</v>
      </c>
      <c r="P13" s="4">
        <f t="shared" si="6"/>
        <v>6.944444444444442E-2</v>
      </c>
      <c r="Q13" s="4">
        <f t="shared" si="7"/>
        <v>7.638888888888884E-2</v>
      </c>
      <c r="R13" s="5" t="str">
        <f t="shared" si="8"/>
        <v>00:10</v>
      </c>
      <c r="S13" s="3">
        <v>35.799999999999997</v>
      </c>
      <c r="T13" s="18" t="str">
        <f t="shared" si="9"/>
        <v>Yes</v>
      </c>
    </row>
    <row r="14" spans="1:20" ht="18" x14ac:dyDescent="0.25">
      <c r="A14" s="21">
        <v>0.44444444444444442</v>
      </c>
      <c r="B14" s="14" t="s">
        <v>217</v>
      </c>
      <c r="C14" s="17" t="s">
        <v>218</v>
      </c>
      <c r="D14" s="17" t="s">
        <v>219</v>
      </c>
      <c r="E14" s="17" t="s">
        <v>220</v>
      </c>
      <c r="F14" s="21">
        <v>0.42708333333333331</v>
      </c>
      <c r="H14" s="21">
        <v>0.4826388888888889</v>
      </c>
      <c r="I14" s="14" t="s">
        <v>221</v>
      </c>
      <c r="J14" s="17" t="s">
        <v>218</v>
      </c>
      <c r="K14" s="17" t="s">
        <v>219</v>
      </c>
      <c r="L14" s="17" t="s">
        <v>220</v>
      </c>
      <c r="M14" s="25">
        <v>0.48888888888888887</v>
      </c>
      <c r="N14" s="13" t="str">
        <f t="shared" si="4"/>
        <v>-00:25</v>
      </c>
      <c r="O14" s="13" t="str">
        <f t="shared" si="5"/>
        <v>00:09</v>
      </c>
      <c r="P14" s="4">
        <f t="shared" si="6"/>
        <v>3.8194444444444475E-2</v>
      </c>
      <c r="Q14" s="4">
        <f t="shared" si="7"/>
        <v>6.1805555555555558E-2</v>
      </c>
      <c r="R14" s="5" t="str">
        <f t="shared" si="8"/>
        <v>00:34</v>
      </c>
      <c r="S14" s="3">
        <v>35.799999999999997</v>
      </c>
      <c r="T14" s="18" t="str">
        <f t="shared" si="9"/>
        <v>Yes</v>
      </c>
    </row>
    <row r="15" spans="1:20" ht="18" x14ac:dyDescent="0.25">
      <c r="A15" s="21">
        <v>0.4201388888888889</v>
      </c>
      <c r="B15" s="14" t="s">
        <v>222</v>
      </c>
      <c r="C15" s="17" t="s">
        <v>193</v>
      </c>
      <c r="D15" s="17" t="s">
        <v>223</v>
      </c>
      <c r="E15" s="17" t="s">
        <v>224</v>
      </c>
      <c r="F15" s="21">
        <v>0.4291666666666667</v>
      </c>
      <c r="H15" s="21">
        <v>0.46875</v>
      </c>
      <c r="I15" s="17" t="s">
        <v>225</v>
      </c>
      <c r="J15" s="17" t="s">
        <v>193</v>
      </c>
      <c r="K15" s="17" t="s">
        <v>223</v>
      </c>
      <c r="L15" s="17" t="s">
        <v>224</v>
      </c>
      <c r="M15" s="25">
        <v>0.4777777777777778</v>
      </c>
      <c r="N15" s="13" t="str">
        <f t="shared" si="4"/>
        <v>00:13</v>
      </c>
      <c r="O15" s="13" t="str">
        <f t="shared" si="5"/>
        <v>00:13</v>
      </c>
      <c r="P15" s="4">
        <f t="shared" si="6"/>
        <v>4.8611111111111105E-2</v>
      </c>
      <c r="Q15" s="4">
        <f t="shared" si="7"/>
        <v>4.8611111111111105E-2</v>
      </c>
      <c r="R15" s="5" t="str">
        <f t="shared" si="8"/>
        <v>00:00</v>
      </c>
      <c r="S15" s="3">
        <v>35.799999999999997</v>
      </c>
      <c r="T15" s="18" t="str">
        <f t="shared" si="9"/>
        <v>Yes</v>
      </c>
    </row>
    <row r="16" spans="1:20" ht="18" x14ac:dyDescent="0.25">
      <c r="A16" s="21">
        <v>0.43402777777777773</v>
      </c>
      <c r="B16" s="14" t="s">
        <v>226</v>
      </c>
      <c r="C16" s="17" t="s">
        <v>227</v>
      </c>
      <c r="D16" s="17" t="s">
        <v>228</v>
      </c>
      <c r="E16" s="17" t="s">
        <v>229</v>
      </c>
      <c r="F16" s="21">
        <v>0.4201388888888889</v>
      </c>
      <c r="H16" s="21">
        <v>0.47222222222222227</v>
      </c>
      <c r="I16" s="14" t="s">
        <v>230</v>
      </c>
      <c r="J16" s="17" t="s">
        <v>227</v>
      </c>
      <c r="K16" s="17" t="s">
        <v>228</v>
      </c>
      <c r="L16" s="17" t="s">
        <v>229</v>
      </c>
      <c r="M16" s="25">
        <v>0.49583333333333335</v>
      </c>
      <c r="N16" s="13" t="str">
        <f t="shared" si="4"/>
        <v>-00:20</v>
      </c>
      <c r="O16" s="13" t="str">
        <f t="shared" si="5"/>
        <v>00:34</v>
      </c>
      <c r="P16" s="4">
        <f t="shared" si="6"/>
        <v>3.8194444444444531E-2</v>
      </c>
      <c r="Q16" s="4">
        <f t="shared" si="7"/>
        <v>7.5694444444444453E-2</v>
      </c>
      <c r="R16" s="5" t="str">
        <f t="shared" si="8"/>
        <v>00:54</v>
      </c>
      <c r="S16" s="3">
        <v>35.799999999999997</v>
      </c>
      <c r="T16" s="18" t="str">
        <f t="shared" si="9"/>
        <v>Yes</v>
      </c>
    </row>
    <row r="17" spans="1:20" ht="18" x14ac:dyDescent="0.25">
      <c r="A17" s="21">
        <v>0.19513888888888889</v>
      </c>
      <c r="B17" s="17" t="s">
        <v>231</v>
      </c>
      <c r="C17" s="17" t="s">
        <v>232</v>
      </c>
      <c r="D17" s="17" t="s">
        <v>233</v>
      </c>
      <c r="E17" s="17" t="s">
        <v>234</v>
      </c>
      <c r="F17" s="21">
        <v>0.18611111111111112</v>
      </c>
      <c r="H17" s="21">
        <v>0.26041666666666669</v>
      </c>
      <c r="I17" s="17" t="s">
        <v>235</v>
      </c>
      <c r="J17" s="17" t="s">
        <v>232</v>
      </c>
      <c r="K17" s="17" t="s">
        <v>233</v>
      </c>
      <c r="L17" s="17" t="s">
        <v>234</v>
      </c>
      <c r="M17" s="25">
        <v>0.27291666666666664</v>
      </c>
      <c r="N17" s="13" t="str">
        <f t="shared" si="4"/>
        <v>-00:13</v>
      </c>
      <c r="O17" s="13" t="str">
        <f t="shared" si="5"/>
        <v>00:18</v>
      </c>
      <c r="P17" s="4">
        <f t="shared" si="6"/>
        <v>6.5277777777777796E-2</v>
      </c>
      <c r="Q17" s="4">
        <f t="shared" si="7"/>
        <v>8.6805555555555525E-2</v>
      </c>
      <c r="R17" s="5" t="str">
        <f t="shared" si="8"/>
        <v>00:31</v>
      </c>
      <c r="S17" s="3">
        <v>44.8</v>
      </c>
      <c r="T17" s="18" t="str">
        <f t="shared" si="9"/>
        <v>Yes</v>
      </c>
    </row>
    <row r="18" spans="1:20" ht="18" x14ac:dyDescent="0.25">
      <c r="A18" s="21">
        <v>0.45833333333333331</v>
      </c>
      <c r="B18" s="14" t="s">
        <v>236</v>
      </c>
      <c r="C18" s="17" t="s">
        <v>237</v>
      </c>
      <c r="D18" s="17" t="s">
        <v>238</v>
      </c>
      <c r="E18" s="17" t="s">
        <v>239</v>
      </c>
      <c r="F18" s="21">
        <v>0.46388888888888885</v>
      </c>
      <c r="H18" s="21">
        <v>0.48958333333333331</v>
      </c>
      <c r="I18" s="14" t="s">
        <v>240</v>
      </c>
      <c r="J18" s="17" t="s">
        <v>237</v>
      </c>
      <c r="K18" s="17" t="s">
        <v>238</v>
      </c>
      <c r="L18" s="17" t="s">
        <v>239</v>
      </c>
      <c r="M18" s="25">
        <v>0.51250000000000007</v>
      </c>
      <c r="N18" s="13" t="str">
        <f t="shared" si="4"/>
        <v>00:08</v>
      </c>
      <c r="O18" s="13" t="str">
        <f t="shared" si="5"/>
        <v>00:33</v>
      </c>
      <c r="P18" s="4">
        <f t="shared" si="6"/>
        <v>3.125E-2</v>
      </c>
      <c r="Q18" s="4">
        <f t="shared" si="7"/>
        <v>4.8611111111111216E-2</v>
      </c>
      <c r="R18" s="5" t="str">
        <f t="shared" si="8"/>
        <v>00:25</v>
      </c>
      <c r="S18" s="3">
        <v>35.799999999999997</v>
      </c>
      <c r="T18" s="18" t="str">
        <f t="shared" si="9"/>
        <v>Yes</v>
      </c>
    </row>
    <row r="19" spans="1:20" ht="18" x14ac:dyDescent="0.25">
      <c r="A19" s="21">
        <v>0.63194444444444442</v>
      </c>
      <c r="B19" s="14" t="s">
        <v>241</v>
      </c>
      <c r="C19" s="17" t="s">
        <v>237</v>
      </c>
      <c r="D19" s="17" t="s">
        <v>238</v>
      </c>
      <c r="E19" s="17" t="s">
        <v>242</v>
      </c>
      <c r="F19" s="21">
        <v>0.63750000000000007</v>
      </c>
      <c r="H19" s="21">
        <v>0.66666666666666663</v>
      </c>
      <c r="I19" s="14" t="s">
        <v>243</v>
      </c>
      <c r="J19" s="17" t="s">
        <v>237</v>
      </c>
      <c r="K19" s="17" t="s">
        <v>238</v>
      </c>
      <c r="L19" s="17" t="s">
        <v>242</v>
      </c>
      <c r="M19" s="25">
        <v>0.67361111111111116</v>
      </c>
      <c r="N19" s="13" t="str">
        <f t="shared" si="4"/>
        <v>00:08</v>
      </c>
      <c r="O19" s="13" t="str">
        <f t="shared" si="5"/>
        <v>00:10</v>
      </c>
      <c r="P19" s="4">
        <f t="shared" si="6"/>
        <v>3.472222222222221E-2</v>
      </c>
      <c r="Q19" s="4">
        <f t="shared" si="7"/>
        <v>3.6111111111111094E-2</v>
      </c>
      <c r="R19" s="5" t="str">
        <f t="shared" si="8"/>
        <v>00:02</v>
      </c>
      <c r="S19" s="3">
        <v>35.799999999999997</v>
      </c>
      <c r="T19" s="18" t="str">
        <f t="shared" si="9"/>
        <v>Yes</v>
      </c>
    </row>
    <row r="20" spans="1:20" ht="18" x14ac:dyDescent="0.25">
      <c r="A20" s="21">
        <v>0.65972222222222221</v>
      </c>
      <c r="B20" s="14" t="s">
        <v>244</v>
      </c>
      <c r="C20" s="17" t="s">
        <v>245</v>
      </c>
      <c r="D20" s="17" t="s">
        <v>246</v>
      </c>
      <c r="E20" s="17" t="s">
        <v>247</v>
      </c>
      <c r="F20" s="21">
        <v>0.66527777777777775</v>
      </c>
      <c r="H20" s="21">
        <v>0.6875</v>
      </c>
      <c r="I20" s="14" t="s">
        <v>248</v>
      </c>
      <c r="J20" s="17" t="s">
        <v>245</v>
      </c>
      <c r="K20" s="17" t="s">
        <v>246</v>
      </c>
      <c r="L20" s="17" t="s">
        <v>247</v>
      </c>
      <c r="M20" s="25">
        <v>0.6875</v>
      </c>
      <c r="N20" s="13" t="str">
        <f t="shared" si="4"/>
        <v>00:08</v>
      </c>
      <c r="O20" s="13" t="str">
        <f t="shared" si="5"/>
        <v>00:00</v>
      </c>
      <c r="P20" s="4">
        <f t="shared" si="6"/>
        <v>2.777777777777779E-2</v>
      </c>
      <c r="Q20" s="4">
        <f t="shared" si="7"/>
        <v>2.2222222222222254E-2</v>
      </c>
      <c r="R20" s="5" t="str">
        <f t="shared" si="8"/>
        <v>-00:08</v>
      </c>
      <c r="S20" s="3">
        <v>35.799999999999997</v>
      </c>
      <c r="T20" s="18" t="str">
        <f t="shared" si="9"/>
        <v>Yes</v>
      </c>
    </row>
    <row r="21" spans="1:20" ht="18" x14ac:dyDescent="0.25">
      <c r="A21" s="21">
        <v>0.34375</v>
      </c>
      <c r="B21" s="14" t="s">
        <v>249</v>
      </c>
      <c r="C21" s="17" t="s">
        <v>245</v>
      </c>
      <c r="D21" s="17" t="s">
        <v>246</v>
      </c>
      <c r="E21" s="17" t="s">
        <v>250</v>
      </c>
      <c r="F21" s="21">
        <v>0.33680555555555558</v>
      </c>
      <c r="H21" s="21">
        <v>0.375</v>
      </c>
      <c r="I21" s="17" t="s">
        <v>251</v>
      </c>
      <c r="J21" s="17" t="s">
        <v>245</v>
      </c>
      <c r="K21" s="17" t="s">
        <v>246</v>
      </c>
      <c r="L21" s="17" t="s">
        <v>250</v>
      </c>
      <c r="M21" s="25">
        <v>0.38819444444444445</v>
      </c>
      <c r="N21" s="13" t="str">
        <f t="shared" si="4"/>
        <v>-00:10</v>
      </c>
      <c r="O21" s="13" t="str">
        <f t="shared" si="5"/>
        <v>00:19</v>
      </c>
      <c r="P21" s="4">
        <f t="shared" si="6"/>
        <v>3.125E-2</v>
      </c>
      <c r="Q21" s="4">
        <f t="shared" si="7"/>
        <v>5.1388888888888873E-2</v>
      </c>
      <c r="R21" s="5" t="str">
        <f t="shared" si="8"/>
        <v>00:29</v>
      </c>
      <c r="S21" s="3">
        <v>35.799999999999997</v>
      </c>
      <c r="T21" s="18" t="str">
        <f t="shared" si="9"/>
        <v>Yes</v>
      </c>
    </row>
    <row r="22" spans="1:20" ht="18" x14ac:dyDescent="0.25">
      <c r="A22" s="21">
        <v>0.44444444444444442</v>
      </c>
      <c r="B22" s="14" t="s">
        <v>252</v>
      </c>
      <c r="C22" s="17" t="s">
        <v>253</v>
      </c>
      <c r="D22" s="17" t="s">
        <v>246</v>
      </c>
      <c r="E22" s="17" t="s">
        <v>254</v>
      </c>
      <c r="F22" s="21">
        <v>0.44027777777777777</v>
      </c>
      <c r="H22" s="21">
        <v>0.47222222222222227</v>
      </c>
      <c r="I22" s="14" t="s">
        <v>255</v>
      </c>
      <c r="J22" s="17" t="s">
        <v>253</v>
      </c>
      <c r="K22" s="17" t="s">
        <v>246</v>
      </c>
      <c r="L22" s="17" t="s">
        <v>254</v>
      </c>
      <c r="M22" s="25">
        <v>0.49027777777777781</v>
      </c>
      <c r="N22" s="13" t="str">
        <f t="shared" si="4"/>
        <v>-00:06</v>
      </c>
      <c r="O22" s="13" t="str">
        <f t="shared" si="5"/>
        <v>00:26</v>
      </c>
      <c r="P22" s="4">
        <f t="shared" si="6"/>
        <v>2.7777777777777846E-2</v>
      </c>
      <c r="Q22" s="4">
        <f t="shared" si="7"/>
        <v>5.0000000000000044E-2</v>
      </c>
      <c r="R22" s="5" t="str">
        <f t="shared" si="8"/>
        <v>00:32</v>
      </c>
      <c r="S22" s="3">
        <v>35.799999999999997</v>
      </c>
      <c r="T22" s="18" t="str">
        <f t="shared" si="9"/>
        <v>Yes</v>
      </c>
    </row>
    <row r="23" spans="1:20" ht="18" x14ac:dyDescent="0.25">
      <c r="A23" s="21">
        <v>0.58333333333333337</v>
      </c>
      <c r="B23" s="14" t="s">
        <v>256</v>
      </c>
      <c r="C23" s="17" t="s">
        <v>253</v>
      </c>
      <c r="D23" s="17" t="s">
        <v>246</v>
      </c>
      <c r="E23" s="17" t="s">
        <v>257</v>
      </c>
      <c r="F23" s="21">
        <v>0.57986111111111105</v>
      </c>
      <c r="H23" s="21">
        <v>0.61111111111111105</v>
      </c>
      <c r="I23" s="14" t="s">
        <v>258</v>
      </c>
      <c r="J23" s="17" t="s">
        <v>253</v>
      </c>
      <c r="K23" s="17" t="s">
        <v>246</v>
      </c>
      <c r="L23" s="17" t="s">
        <v>257</v>
      </c>
      <c r="M23" s="25">
        <v>0.62569444444444444</v>
      </c>
      <c r="N23" s="13" t="str">
        <f t="shared" si="4"/>
        <v>-00:05</v>
      </c>
      <c r="O23" s="13" t="str">
        <f t="shared" si="5"/>
        <v>00:21</v>
      </c>
      <c r="P23" s="4">
        <f t="shared" si="6"/>
        <v>2.7777777777777679E-2</v>
      </c>
      <c r="Q23" s="4">
        <f t="shared" si="7"/>
        <v>4.5833333333333393E-2</v>
      </c>
      <c r="R23" s="5" t="str">
        <f t="shared" si="8"/>
        <v>00:26</v>
      </c>
      <c r="S23" s="3">
        <v>35.799999999999997</v>
      </c>
      <c r="T23" s="18" t="str">
        <f t="shared" si="9"/>
        <v>Yes</v>
      </c>
    </row>
    <row r="24" spans="1:20" ht="18" x14ac:dyDescent="0.25">
      <c r="A24" s="21">
        <v>0.3576388888888889</v>
      </c>
      <c r="B24" s="17" t="s">
        <v>259</v>
      </c>
      <c r="C24" s="17" t="s">
        <v>260</v>
      </c>
      <c r="D24" s="17" t="s">
        <v>219</v>
      </c>
      <c r="E24" s="17" t="s">
        <v>261</v>
      </c>
      <c r="F24" s="21">
        <v>0.3520833333333333</v>
      </c>
      <c r="H24" s="21">
        <v>0.3923611111111111</v>
      </c>
      <c r="I24" s="17" t="s">
        <v>262</v>
      </c>
      <c r="J24" s="17" t="s">
        <v>260</v>
      </c>
      <c r="K24" s="17" t="s">
        <v>219</v>
      </c>
      <c r="L24" s="17" t="s">
        <v>261</v>
      </c>
      <c r="M24" s="25">
        <v>0.40208333333333335</v>
      </c>
      <c r="N24" s="13" t="str">
        <f t="shared" si="4"/>
        <v>-00:08</v>
      </c>
      <c r="O24" s="13" t="str">
        <f t="shared" si="5"/>
        <v>00:14</v>
      </c>
      <c r="P24" s="4">
        <f t="shared" si="6"/>
        <v>3.472222222222221E-2</v>
      </c>
      <c r="Q24" s="4">
        <f t="shared" si="7"/>
        <v>5.0000000000000044E-2</v>
      </c>
      <c r="R24" s="5" t="str">
        <f t="shared" si="8"/>
        <v>00:22</v>
      </c>
      <c r="S24" s="3">
        <v>35.799999999999997</v>
      </c>
      <c r="T24" s="18" t="str">
        <f t="shared" si="9"/>
        <v>Yes</v>
      </c>
    </row>
    <row r="25" spans="1:20" ht="18" x14ac:dyDescent="0.25">
      <c r="A25" s="21">
        <v>0.36805555555555558</v>
      </c>
      <c r="B25" s="14" t="s">
        <v>263</v>
      </c>
      <c r="C25" s="17" t="s">
        <v>174</v>
      </c>
      <c r="D25" s="17" t="s">
        <v>184</v>
      </c>
      <c r="E25" s="17" t="s">
        <v>264</v>
      </c>
      <c r="F25" s="21">
        <v>0.3576388888888889</v>
      </c>
      <c r="H25" s="21">
        <v>0.39583333333333331</v>
      </c>
      <c r="I25" s="17" t="s">
        <v>265</v>
      </c>
      <c r="J25" s="17" t="s">
        <v>179</v>
      </c>
      <c r="K25" s="17" t="s">
        <v>184</v>
      </c>
      <c r="L25" s="17" t="s">
        <v>264</v>
      </c>
      <c r="M25" s="25">
        <v>0.40277777777777773</v>
      </c>
      <c r="N25" s="13" t="str">
        <f t="shared" si="4"/>
        <v>-00:15</v>
      </c>
      <c r="O25" s="13" t="str">
        <f t="shared" si="5"/>
        <v>00:10</v>
      </c>
      <c r="P25" s="4">
        <f t="shared" si="6"/>
        <v>2.7777777777777735E-2</v>
      </c>
      <c r="Q25" s="4">
        <f t="shared" si="7"/>
        <v>4.513888888888884E-2</v>
      </c>
      <c r="R25" s="5" t="str">
        <f t="shared" si="8"/>
        <v>00:25</v>
      </c>
      <c r="S25" s="3">
        <v>35.799999999999997</v>
      </c>
      <c r="T25" s="18" t="str">
        <f t="shared" si="9"/>
        <v>No</v>
      </c>
    </row>
    <row r="26" spans="1:20" ht="18" x14ac:dyDescent="0.25">
      <c r="A26" s="21">
        <v>0.5625</v>
      </c>
      <c r="B26" s="14" t="s">
        <v>266</v>
      </c>
      <c r="C26" s="17" t="s">
        <v>179</v>
      </c>
      <c r="D26" s="17" t="s">
        <v>184</v>
      </c>
      <c r="E26" s="17" t="s">
        <v>264</v>
      </c>
      <c r="F26" s="21">
        <v>0.55069444444444449</v>
      </c>
      <c r="H26" s="21">
        <v>0.58680555555555558</v>
      </c>
      <c r="I26" s="14" t="s">
        <v>267</v>
      </c>
      <c r="J26" s="17" t="s">
        <v>268</v>
      </c>
      <c r="K26" s="17" t="s">
        <v>184</v>
      </c>
      <c r="L26" s="17" t="s">
        <v>264</v>
      </c>
      <c r="M26" s="25">
        <v>0.6</v>
      </c>
      <c r="N26" s="13" t="str">
        <f t="shared" si="4"/>
        <v>-00:17</v>
      </c>
      <c r="O26" s="13" t="str">
        <f t="shared" si="5"/>
        <v>00:19</v>
      </c>
      <c r="P26" s="4">
        <f t="shared" si="6"/>
        <v>2.430555555555558E-2</v>
      </c>
      <c r="Q26" s="4">
        <f t="shared" si="7"/>
        <v>4.9305555555555491E-2</v>
      </c>
      <c r="R26" s="5" t="str">
        <f t="shared" si="8"/>
        <v>00:36</v>
      </c>
      <c r="S26" s="3">
        <v>35.799999999999997</v>
      </c>
      <c r="T26" s="18" t="str">
        <f t="shared" si="9"/>
        <v>No</v>
      </c>
    </row>
    <row r="27" spans="1:20" ht="18" x14ac:dyDescent="0.25">
      <c r="A27" s="21">
        <v>0.4236111111111111</v>
      </c>
      <c r="B27" s="14" t="s">
        <v>270</v>
      </c>
      <c r="C27" s="17" t="s">
        <v>253</v>
      </c>
      <c r="D27" s="17" t="s">
        <v>184</v>
      </c>
      <c r="E27" s="17" t="s">
        <v>271</v>
      </c>
      <c r="F27" s="21">
        <v>0.40972222222222227</v>
      </c>
      <c r="H27" s="21">
        <v>0.46180555555555558</v>
      </c>
      <c r="I27" s="17" t="s">
        <v>274</v>
      </c>
      <c r="J27" s="17" t="s">
        <v>273</v>
      </c>
      <c r="K27" s="17" t="s">
        <v>184</v>
      </c>
      <c r="L27" s="17" t="s">
        <v>271</v>
      </c>
      <c r="M27" s="25">
        <v>0.47986111111111113</v>
      </c>
      <c r="N27" s="13" t="str">
        <f t="shared" si="4"/>
        <v>-00:20</v>
      </c>
      <c r="O27" s="13" t="str">
        <f t="shared" si="5"/>
        <v>00:26</v>
      </c>
      <c r="P27" s="4">
        <f t="shared" si="6"/>
        <v>3.8194444444444475E-2</v>
      </c>
      <c r="Q27" s="4">
        <f t="shared" si="7"/>
        <v>7.0138888888888862E-2</v>
      </c>
      <c r="R27" s="5" t="str">
        <f t="shared" si="8"/>
        <v>00:46</v>
      </c>
      <c r="S27" s="3">
        <v>35.799999999999997</v>
      </c>
      <c r="T27" s="18" t="str">
        <f t="shared" si="9"/>
        <v>No</v>
      </c>
    </row>
    <row r="28" spans="1:20" ht="18" x14ac:dyDescent="0.25">
      <c r="A28" s="21">
        <v>0.59722222222222221</v>
      </c>
      <c r="B28" s="17" t="s">
        <v>272</v>
      </c>
      <c r="C28" s="17" t="s">
        <v>273</v>
      </c>
      <c r="D28" s="17" t="s">
        <v>184</v>
      </c>
      <c r="E28" s="17" t="s">
        <v>271</v>
      </c>
      <c r="F28" s="21">
        <v>0.58888888888888891</v>
      </c>
      <c r="H28" s="21">
        <v>0.66319444444444442</v>
      </c>
      <c r="I28" s="14" t="s">
        <v>275</v>
      </c>
      <c r="J28" s="17" t="s">
        <v>276</v>
      </c>
      <c r="K28" s="17" t="s">
        <v>184</v>
      </c>
      <c r="L28" s="17" t="s">
        <v>271</v>
      </c>
      <c r="M28" s="25">
        <v>0.68819444444444444</v>
      </c>
      <c r="N28" s="13" t="str">
        <f t="shared" si="4"/>
        <v>-00:12</v>
      </c>
      <c r="O28" s="13" t="str">
        <f t="shared" si="5"/>
        <v>00:36</v>
      </c>
      <c r="P28" s="4">
        <f t="shared" si="6"/>
        <v>6.597222222222221E-2</v>
      </c>
      <c r="Q28" s="4">
        <f t="shared" si="7"/>
        <v>9.9305555555555536E-2</v>
      </c>
      <c r="R28" s="5" t="str">
        <f t="shared" si="8"/>
        <v>00:48</v>
      </c>
      <c r="S28" s="3">
        <v>35.799999999999997</v>
      </c>
      <c r="T28" s="18" t="str">
        <f t="shared" si="9"/>
        <v>No</v>
      </c>
    </row>
    <row r="29" spans="1:20" ht="18" x14ac:dyDescent="0.25">
      <c r="A29" s="21">
        <v>0.34722222222222227</v>
      </c>
      <c r="B29" s="14" t="s">
        <v>277</v>
      </c>
      <c r="C29" s="17" t="s">
        <v>278</v>
      </c>
      <c r="D29" s="17" t="s">
        <v>184</v>
      </c>
      <c r="E29" s="17" t="s">
        <v>279</v>
      </c>
      <c r="F29" s="21">
        <v>0.32916666666666666</v>
      </c>
      <c r="H29" s="21">
        <v>0.37152777777777773</v>
      </c>
      <c r="I29" s="17" t="s">
        <v>280</v>
      </c>
      <c r="J29" s="17" t="s">
        <v>281</v>
      </c>
      <c r="K29" s="17" t="s">
        <v>184</v>
      </c>
      <c r="L29" s="17" t="s">
        <v>279</v>
      </c>
      <c r="M29" s="25">
        <v>0.38055555555555554</v>
      </c>
      <c r="N29" s="13" t="str">
        <f t="shared" si="4"/>
        <v>-00:26</v>
      </c>
      <c r="O29" s="13" t="str">
        <f t="shared" si="5"/>
        <v>00:13</v>
      </c>
      <c r="P29" s="4">
        <f t="shared" si="6"/>
        <v>2.4305555555555469E-2</v>
      </c>
      <c r="Q29" s="4">
        <f t="shared" si="7"/>
        <v>5.1388888888888873E-2</v>
      </c>
      <c r="R29" s="5" t="str">
        <f t="shared" si="8"/>
        <v>00:39</v>
      </c>
      <c r="S29" s="3">
        <v>35.799999999999997</v>
      </c>
      <c r="T29" s="18" t="str">
        <f t="shared" si="9"/>
        <v>No</v>
      </c>
    </row>
    <row r="30" spans="1:20" ht="18" x14ac:dyDescent="0.25">
      <c r="A30" s="21">
        <v>0.55555555555555558</v>
      </c>
      <c r="B30" s="17" t="s">
        <v>282</v>
      </c>
      <c r="C30" s="17" t="s">
        <v>281</v>
      </c>
      <c r="D30" s="17" t="s">
        <v>184</v>
      </c>
      <c r="E30" s="17" t="s">
        <v>279</v>
      </c>
      <c r="F30" s="21">
        <v>0.5541666666666667</v>
      </c>
      <c r="H30" s="21">
        <v>0.59375</v>
      </c>
      <c r="I30" s="17" t="s">
        <v>283</v>
      </c>
      <c r="J30" s="17" t="s">
        <v>284</v>
      </c>
      <c r="K30" s="17" t="s">
        <v>184</v>
      </c>
      <c r="L30" s="17" t="s">
        <v>279</v>
      </c>
      <c r="M30" s="25">
        <v>0.61458333333333337</v>
      </c>
      <c r="N30" s="13" t="str">
        <f t="shared" si="4"/>
        <v>-00:02</v>
      </c>
      <c r="O30" s="13" t="str">
        <f t="shared" si="5"/>
        <v>00:30</v>
      </c>
      <c r="P30" s="4">
        <f t="shared" si="6"/>
        <v>3.819444444444442E-2</v>
      </c>
      <c r="Q30" s="4">
        <f t="shared" si="7"/>
        <v>6.0416666666666674E-2</v>
      </c>
      <c r="R30" s="5" t="str">
        <f t="shared" si="8"/>
        <v>00:32</v>
      </c>
      <c r="S30" s="3">
        <v>35.799999999999997</v>
      </c>
      <c r="T30" s="18" t="str">
        <f t="shared" si="9"/>
        <v>No</v>
      </c>
    </row>
    <row r="31" spans="1:20" ht="18" x14ac:dyDescent="0.25">
      <c r="A31" s="21">
        <v>0.5625</v>
      </c>
      <c r="B31" s="17" t="s">
        <v>286</v>
      </c>
      <c r="C31" s="17" t="s">
        <v>287</v>
      </c>
      <c r="D31" s="17" t="s">
        <v>184</v>
      </c>
      <c r="E31" s="17" t="s">
        <v>288</v>
      </c>
      <c r="F31" s="21">
        <v>0.56805555555555554</v>
      </c>
      <c r="H31" s="21">
        <v>0.63888888888888895</v>
      </c>
      <c r="I31" s="14" t="s">
        <v>289</v>
      </c>
      <c r="J31" s="17" t="s">
        <v>200</v>
      </c>
      <c r="K31" s="17" t="s">
        <v>184</v>
      </c>
      <c r="L31" s="17" t="s">
        <v>288</v>
      </c>
      <c r="M31" s="25">
        <v>0.64513888888888882</v>
      </c>
      <c r="N31" s="13" t="str">
        <f t="shared" si="4"/>
        <v>00:08</v>
      </c>
      <c r="O31" s="13" t="str">
        <f t="shared" si="5"/>
        <v>00:09</v>
      </c>
      <c r="P31" s="4">
        <f t="shared" si="6"/>
        <v>7.6388888888888951E-2</v>
      </c>
      <c r="Q31" s="4">
        <f t="shared" si="7"/>
        <v>7.7083333333333282E-2</v>
      </c>
      <c r="R31" s="5" t="str">
        <f t="shared" si="8"/>
        <v>00:01</v>
      </c>
      <c r="S31" s="3">
        <v>35.799999999999997</v>
      </c>
      <c r="T31" s="18" t="str">
        <f t="shared" si="9"/>
        <v>No</v>
      </c>
    </row>
    <row r="32" spans="1:20" ht="18" x14ac:dyDescent="0.25">
      <c r="A32" s="21">
        <v>0.3576388888888889</v>
      </c>
      <c r="B32" s="14" t="s">
        <v>290</v>
      </c>
      <c r="C32" s="17" t="s">
        <v>287</v>
      </c>
      <c r="D32" s="17" t="s">
        <v>184</v>
      </c>
      <c r="E32" s="17" t="s">
        <v>291</v>
      </c>
      <c r="F32" s="21">
        <v>0.34722222222222227</v>
      </c>
      <c r="H32" s="21">
        <v>0.40277777777777773</v>
      </c>
      <c r="I32" s="14" t="s">
        <v>292</v>
      </c>
      <c r="J32" s="17" t="s">
        <v>293</v>
      </c>
      <c r="K32" s="17" t="s">
        <v>184</v>
      </c>
      <c r="L32" s="17" t="s">
        <v>291</v>
      </c>
      <c r="M32" s="25">
        <v>0.41736111111111113</v>
      </c>
      <c r="N32" s="13" t="str">
        <f t="shared" si="4"/>
        <v>-00:15</v>
      </c>
      <c r="O32" s="13" t="str">
        <f t="shared" si="5"/>
        <v>00:21</v>
      </c>
      <c r="P32" s="4">
        <f t="shared" si="6"/>
        <v>4.513888888888884E-2</v>
      </c>
      <c r="Q32" s="4">
        <f t="shared" si="7"/>
        <v>7.0138888888888862E-2</v>
      </c>
      <c r="R32" s="5" t="str">
        <f t="shared" si="8"/>
        <v>00:36</v>
      </c>
      <c r="S32" s="3">
        <v>35.799999999999997</v>
      </c>
      <c r="T32" s="18" t="str">
        <f t="shared" si="9"/>
        <v>No</v>
      </c>
    </row>
    <row r="33" spans="1:20" ht="18" x14ac:dyDescent="0.25">
      <c r="A33" s="21">
        <v>0.57638888888888895</v>
      </c>
      <c r="B33" s="17" t="s">
        <v>294</v>
      </c>
      <c r="C33" s="17" t="s">
        <v>293</v>
      </c>
      <c r="D33" s="17" t="s">
        <v>184</v>
      </c>
      <c r="E33" s="17" t="s">
        <v>291</v>
      </c>
      <c r="F33" s="21">
        <v>0.57638888888888895</v>
      </c>
      <c r="H33" s="21">
        <v>0.63194444444444442</v>
      </c>
      <c r="I33" s="14" t="s">
        <v>295</v>
      </c>
      <c r="J33" s="17" t="s">
        <v>296</v>
      </c>
      <c r="K33" s="17" t="s">
        <v>184</v>
      </c>
      <c r="L33" s="17" t="s">
        <v>291</v>
      </c>
      <c r="M33" s="25">
        <v>0.64374999999999993</v>
      </c>
      <c r="N33" s="13" t="str">
        <f t="shared" si="4"/>
        <v>00:00</v>
      </c>
      <c r="O33" s="13" t="str">
        <f t="shared" si="5"/>
        <v>00:17</v>
      </c>
      <c r="P33" s="4">
        <f t="shared" si="6"/>
        <v>5.5555555555555469E-2</v>
      </c>
      <c r="Q33" s="4">
        <f t="shared" si="7"/>
        <v>6.7361111111110983E-2</v>
      </c>
      <c r="R33" s="5" t="str">
        <f t="shared" si="8"/>
        <v>00:17</v>
      </c>
      <c r="S33" s="3">
        <v>35.799999999999997</v>
      </c>
      <c r="T33" s="18" t="str">
        <f t="shared" si="9"/>
        <v>No</v>
      </c>
    </row>
    <row r="34" spans="1:20" ht="18" x14ac:dyDescent="0.25">
      <c r="A34" s="21">
        <v>0.4236111111111111</v>
      </c>
      <c r="B34" s="14" t="s">
        <v>298</v>
      </c>
      <c r="C34" s="17" t="s">
        <v>269</v>
      </c>
      <c r="D34" s="17" t="s">
        <v>184</v>
      </c>
      <c r="E34" s="17" t="s">
        <v>299</v>
      </c>
      <c r="F34" s="21">
        <v>0.40833333333333338</v>
      </c>
      <c r="H34" s="21">
        <v>0.45833333333333331</v>
      </c>
      <c r="I34" s="17" t="s">
        <v>302</v>
      </c>
      <c r="J34" s="17" t="s">
        <v>301</v>
      </c>
      <c r="K34" s="17" t="s">
        <v>184</v>
      </c>
      <c r="L34" s="17" t="s">
        <v>299</v>
      </c>
      <c r="M34" s="25">
        <v>0.46527777777777773</v>
      </c>
      <c r="N34" s="13" t="str">
        <f t="shared" si="4"/>
        <v>-00:22</v>
      </c>
      <c r="O34" s="13" t="str">
        <f t="shared" si="5"/>
        <v>00:10</v>
      </c>
      <c r="P34" s="4">
        <f t="shared" si="6"/>
        <v>3.472222222222221E-2</v>
      </c>
      <c r="Q34" s="4">
        <f t="shared" si="7"/>
        <v>5.6944444444444353E-2</v>
      </c>
      <c r="R34" s="5" t="str">
        <f t="shared" si="8"/>
        <v>00:32</v>
      </c>
      <c r="S34" s="3">
        <v>35.799999999999997</v>
      </c>
      <c r="T34" s="18" t="str">
        <f t="shared" si="9"/>
        <v>No</v>
      </c>
    </row>
    <row r="35" spans="1:20" ht="18" x14ac:dyDescent="0.25">
      <c r="A35" s="21">
        <v>0.63541666666666663</v>
      </c>
      <c r="B35" s="17" t="s">
        <v>300</v>
      </c>
      <c r="C35" s="17" t="s">
        <v>301</v>
      </c>
      <c r="D35" s="17" t="s">
        <v>184</v>
      </c>
      <c r="E35" s="17" t="s">
        <v>299</v>
      </c>
      <c r="F35" s="21">
        <v>0.63680555555555551</v>
      </c>
      <c r="H35" s="21">
        <v>0.70833333333333337</v>
      </c>
      <c r="I35" s="14" t="s">
        <v>303</v>
      </c>
      <c r="J35" s="17" t="s">
        <v>285</v>
      </c>
      <c r="K35" s="17" t="s">
        <v>184</v>
      </c>
      <c r="L35" s="17" t="s">
        <v>299</v>
      </c>
      <c r="M35" s="25">
        <v>0.70833333333333337</v>
      </c>
      <c r="N35" s="13" t="str">
        <f t="shared" si="4"/>
        <v>00:02</v>
      </c>
      <c r="O35" s="13" t="str">
        <f t="shared" si="5"/>
        <v>00:00</v>
      </c>
      <c r="P35" s="4">
        <f t="shared" si="6"/>
        <v>7.2916666666666741E-2</v>
      </c>
      <c r="Q35" s="4">
        <f t="shared" si="7"/>
        <v>7.1527777777777857E-2</v>
      </c>
      <c r="R35" s="5" t="str">
        <f t="shared" si="8"/>
        <v>-00:02</v>
      </c>
      <c r="S35" s="3">
        <v>35.799999999999997</v>
      </c>
      <c r="T35" s="18" t="str">
        <f t="shared" si="9"/>
        <v>No</v>
      </c>
    </row>
    <row r="36" spans="1:20" ht="18" x14ac:dyDescent="0.25">
      <c r="A36" s="21">
        <v>0.34375</v>
      </c>
      <c r="B36" s="14" t="s">
        <v>304</v>
      </c>
      <c r="C36" s="17" t="s">
        <v>273</v>
      </c>
      <c r="D36" s="17" t="s">
        <v>184</v>
      </c>
      <c r="E36" s="17" t="s">
        <v>305</v>
      </c>
      <c r="F36" s="21">
        <v>0.35000000000000003</v>
      </c>
      <c r="H36" s="21">
        <v>0.39930555555555558</v>
      </c>
      <c r="I36" s="17" t="s">
        <v>306</v>
      </c>
      <c r="J36" s="17" t="s">
        <v>307</v>
      </c>
      <c r="K36" s="17" t="s">
        <v>184</v>
      </c>
      <c r="L36" s="17" t="s">
        <v>305</v>
      </c>
      <c r="M36" s="25">
        <v>0.40902777777777777</v>
      </c>
      <c r="N36" s="13" t="str">
        <f t="shared" si="4"/>
        <v>00:09</v>
      </c>
      <c r="O36" s="13" t="str">
        <f t="shared" si="5"/>
        <v>00:14</v>
      </c>
      <c r="P36" s="4">
        <f t="shared" si="6"/>
        <v>5.555555555555558E-2</v>
      </c>
      <c r="Q36" s="4">
        <f t="shared" si="7"/>
        <v>5.9027777777777735E-2</v>
      </c>
      <c r="R36" s="5" t="str">
        <f t="shared" si="8"/>
        <v>00:05</v>
      </c>
      <c r="S36" s="3">
        <v>35.799999999999997</v>
      </c>
      <c r="T36" s="18" t="str">
        <f t="shared" si="9"/>
        <v>No</v>
      </c>
    </row>
    <row r="37" spans="1:20" ht="18" x14ac:dyDescent="0.25">
      <c r="A37" s="21">
        <v>0.59375</v>
      </c>
      <c r="B37" s="17" t="s">
        <v>308</v>
      </c>
      <c r="C37" s="17" t="s">
        <v>307</v>
      </c>
      <c r="D37" s="17" t="s">
        <v>184</v>
      </c>
      <c r="E37" s="17" t="s">
        <v>305</v>
      </c>
      <c r="F37" s="21">
        <v>0.60277777777777775</v>
      </c>
      <c r="H37" s="21">
        <v>0.6875</v>
      </c>
      <c r="I37" s="14" t="s">
        <v>309</v>
      </c>
      <c r="J37" s="17" t="s">
        <v>278</v>
      </c>
      <c r="K37" s="17" t="s">
        <v>184</v>
      </c>
      <c r="L37" s="17" t="s">
        <v>305</v>
      </c>
      <c r="M37" s="25">
        <v>0.6875</v>
      </c>
      <c r="N37" s="13" t="str">
        <f t="shared" si="4"/>
        <v>00:13</v>
      </c>
      <c r="O37" s="13" t="str">
        <f t="shared" si="5"/>
        <v>00:00</v>
      </c>
      <c r="P37" s="4">
        <f t="shared" si="6"/>
        <v>9.375E-2</v>
      </c>
      <c r="Q37" s="4">
        <f t="shared" si="7"/>
        <v>8.4722222222222254E-2</v>
      </c>
      <c r="R37" s="5" t="str">
        <f t="shared" si="8"/>
        <v>-00:13</v>
      </c>
      <c r="S37" s="3">
        <v>35.799999999999997</v>
      </c>
      <c r="T37" s="18" t="str">
        <f t="shared" si="9"/>
        <v>No</v>
      </c>
    </row>
    <row r="38" spans="1:20" ht="18" x14ac:dyDescent="0.25">
      <c r="A38" s="21">
        <v>0.40625</v>
      </c>
      <c r="B38" s="17" t="s">
        <v>310</v>
      </c>
      <c r="C38" s="17" t="s">
        <v>193</v>
      </c>
      <c r="D38" s="17" t="s">
        <v>184</v>
      </c>
      <c r="E38" s="17" t="s">
        <v>311</v>
      </c>
      <c r="F38" s="21">
        <v>0.40763888888888888</v>
      </c>
      <c r="H38" s="21">
        <v>0.4513888888888889</v>
      </c>
      <c r="I38" s="17" t="s">
        <v>312</v>
      </c>
      <c r="J38" s="17" t="s">
        <v>313</v>
      </c>
      <c r="K38" s="17" t="s">
        <v>184</v>
      </c>
      <c r="L38" s="17" t="s">
        <v>311</v>
      </c>
      <c r="M38" s="25">
        <v>0.47361111111111115</v>
      </c>
      <c r="N38" s="13" t="str">
        <f t="shared" si="4"/>
        <v>00:02</v>
      </c>
      <c r="O38" s="13" t="str">
        <f t="shared" si="5"/>
        <v>00:32</v>
      </c>
      <c r="P38" s="4">
        <f t="shared" si="6"/>
        <v>4.5138888888888895E-2</v>
      </c>
      <c r="Q38" s="4">
        <f t="shared" si="7"/>
        <v>6.5972222222222265E-2</v>
      </c>
      <c r="R38" s="5" t="str">
        <f t="shared" si="8"/>
        <v>00:30</v>
      </c>
      <c r="S38" s="3">
        <v>35.799999999999997</v>
      </c>
      <c r="T38" s="18" t="str">
        <f t="shared" si="9"/>
        <v>No</v>
      </c>
    </row>
    <row r="39" spans="1:20" ht="18" x14ac:dyDescent="0.25">
      <c r="A39" s="21">
        <v>0.625</v>
      </c>
      <c r="B39" s="14" t="s">
        <v>314</v>
      </c>
      <c r="C39" s="17" t="s">
        <v>313</v>
      </c>
      <c r="D39" s="17" t="s">
        <v>184</v>
      </c>
      <c r="E39" s="17" t="s">
        <v>311</v>
      </c>
      <c r="F39" s="21">
        <v>0.63263888888888886</v>
      </c>
      <c r="H39" s="21">
        <v>0.71180555555555547</v>
      </c>
      <c r="I39" s="17" t="s">
        <v>315</v>
      </c>
      <c r="J39" s="17" t="s">
        <v>273</v>
      </c>
      <c r="K39" s="17" t="s">
        <v>184</v>
      </c>
      <c r="L39" s="17" t="s">
        <v>311</v>
      </c>
      <c r="M39" s="25">
        <v>0.71180555555555547</v>
      </c>
      <c r="N39" s="13" t="str">
        <f t="shared" si="4"/>
        <v>00:11</v>
      </c>
      <c r="O39" s="13" t="str">
        <f t="shared" si="5"/>
        <v>00:00</v>
      </c>
      <c r="P39" s="4">
        <f t="shared" si="6"/>
        <v>8.6805555555555469E-2</v>
      </c>
      <c r="Q39" s="4">
        <f t="shared" si="7"/>
        <v>7.9166666666666607E-2</v>
      </c>
      <c r="R39" s="5" t="str">
        <f t="shared" si="8"/>
        <v>-00:11</v>
      </c>
      <c r="S39" s="3">
        <v>35.799999999999997</v>
      </c>
      <c r="T39" s="18" t="str">
        <f t="shared" si="9"/>
        <v>No</v>
      </c>
    </row>
    <row r="40" spans="1:20" ht="18" x14ac:dyDescent="0.25">
      <c r="A40" s="21">
        <v>0.3611111111111111</v>
      </c>
      <c r="B40" s="14" t="s">
        <v>316</v>
      </c>
      <c r="C40" s="17" t="s">
        <v>276</v>
      </c>
      <c r="D40" s="17" t="s">
        <v>184</v>
      </c>
      <c r="E40" s="17" t="s">
        <v>317</v>
      </c>
      <c r="F40" s="21">
        <v>0.35555555555555557</v>
      </c>
      <c r="H40" s="21">
        <v>0.39930555555555558</v>
      </c>
      <c r="I40" s="14" t="s">
        <v>318</v>
      </c>
      <c r="J40" s="17" t="s">
        <v>319</v>
      </c>
      <c r="K40" s="17" t="s">
        <v>184</v>
      </c>
      <c r="L40" s="17" t="s">
        <v>317</v>
      </c>
      <c r="M40" s="25">
        <v>0.41666666666666669</v>
      </c>
      <c r="N40" s="13" t="str">
        <f t="shared" si="4"/>
        <v>-00:08</v>
      </c>
      <c r="O40" s="13" t="str">
        <f t="shared" si="5"/>
        <v>00:25</v>
      </c>
      <c r="P40" s="4">
        <f t="shared" si="6"/>
        <v>3.8194444444444475E-2</v>
      </c>
      <c r="Q40" s="4">
        <f t="shared" si="7"/>
        <v>6.1111111111111116E-2</v>
      </c>
      <c r="R40" s="5" t="str">
        <f t="shared" si="8"/>
        <v>00:33</v>
      </c>
      <c r="S40" s="3">
        <v>35.799999999999997</v>
      </c>
      <c r="T40" s="18" t="str">
        <f t="shared" si="9"/>
        <v>No</v>
      </c>
    </row>
    <row r="41" spans="1:20" ht="18" x14ac:dyDescent="0.25">
      <c r="A41" s="21">
        <v>0.54513888888888895</v>
      </c>
      <c r="B41" s="17" t="s">
        <v>320</v>
      </c>
      <c r="C41" s="17" t="s">
        <v>319</v>
      </c>
      <c r="D41" s="17" t="s">
        <v>184</v>
      </c>
      <c r="E41" s="17" t="s">
        <v>317</v>
      </c>
      <c r="F41" s="21">
        <v>0.54305555555555551</v>
      </c>
      <c r="H41" s="21">
        <v>0.57986111111111105</v>
      </c>
      <c r="I41" s="14" t="s">
        <v>321</v>
      </c>
      <c r="J41" s="17" t="s">
        <v>245</v>
      </c>
      <c r="K41" s="17" t="s">
        <v>184</v>
      </c>
      <c r="L41" s="17" t="s">
        <v>317</v>
      </c>
      <c r="M41" s="25">
        <v>0.60625000000000007</v>
      </c>
      <c r="N41" s="13" t="str">
        <f t="shared" si="4"/>
        <v>-00:03</v>
      </c>
      <c r="O41" s="13" t="str">
        <f t="shared" si="5"/>
        <v>00:38</v>
      </c>
      <c r="P41" s="4">
        <f t="shared" si="6"/>
        <v>3.4722222222222099E-2</v>
      </c>
      <c r="Q41" s="4">
        <f t="shared" si="7"/>
        <v>6.3194444444444553E-2</v>
      </c>
      <c r="R41" s="5" t="str">
        <f t="shared" si="8"/>
        <v>00:41</v>
      </c>
      <c r="S41" s="3">
        <v>35.799999999999997</v>
      </c>
      <c r="T41" s="18" t="str">
        <f t="shared" si="9"/>
        <v>No</v>
      </c>
    </row>
    <row r="42" spans="1:20" ht="18" x14ac:dyDescent="0.25">
      <c r="A42" s="21">
        <v>0.35069444444444442</v>
      </c>
      <c r="B42" s="14" t="s">
        <v>322</v>
      </c>
      <c r="C42" s="17" t="s">
        <v>260</v>
      </c>
      <c r="D42" s="17" t="s">
        <v>184</v>
      </c>
      <c r="E42" s="17" t="s">
        <v>323</v>
      </c>
      <c r="F42" s="21">
        <v>0.34583333333333338</v>
      </c>
      <c r="H42" s="21">
        <v>0.39583333333333331</v>
      </c>
      <c r="I42" s="17" t="s">
        <v>324</v>
      </c>
      <c r="J42" s="17" t="s">
        <v>297</v>
      </c>
      <c r="K42" s="17" t="s">
        <v>184</v>
      </c>
      <c r="L42" s="17" t="s">
        <v>323</v>
      </c>
      <c r="M42" s="25">
        <v>0.4055555555555555</v>
      </c>
      <c r="N42" s="13" t="str">
        <f t="shared" si="4"/>
        <v>-00:07</v>
      </c>
      <c r="O42" s="13" t="str">
        <f t="shared" si="5"/>
        <v>00:14</v>
      </c>
      <c r="P42" s="4">
        <f t="shared" si="6"/>
        <v>4.5138888888888895E-2</v>
      </c>
      <c r="Q42" s="4">
        <f t="shared" si="7"/>
        <v>5.9722222222222121E-2</v>
      </c>
      <c r="R42" s="5" t="str">
        <f t="shared" si="8"/>
        <v>00:21</v>
      </c>
      <c r="S42" s="3">
        <v>35.799999999999997</v>
      </c>
      <c r="T42" s="18" t="str">
        <f t="shared" si="9"/>
        <v>No</v>
      </c>
    </row>
    <row r="43" spans="1:20" ht="18" x14ac:dyDescent="0.25">
      <c r="A43" s="21">
        <v>0.57291666666666663</v>
      </c>
      <c r="B43" s="17" t="s">
        <v>325</v>
      </c>
      <c r="C43" s="17" t="s">
        <v>297</v>
      </c>
      <c r="D43" s="17" t="s">
        <v>184</v>
      </c>
      <c r="E43" s="17" t="s">
        <v>323</v>
      </c>
      <c r="F43" s="21">
        <v>0.56736111111111109</v>
      </c>
      <c r="H43" s="21">
        <v>0.63888888888888895</v>
      </c>
      <c r="I43" s="14" t="s">
        <v>326</v>
      </c>
      <c r="J43" s="17" t="s">
        <v>327</v>
      </c>
      <c r="K43" s="17" t="s">
        <v>184</v>
      </c>
      <c r="L43" s="17" t="s">
        <v>323</v>
      </c>
      <c r="M43" s="25">
        <v>0.64097222222222217</v>
      </c>
      <c r="N43" s="13" t="str">
        <f t="shared" si="4"/>
        <v>-00:08</v>
      </c>
      <c r="O43" s="13" t="str">
        <f t="shared" si="5"/>
        <v>00:03</v>
      </c>
      <c r="P43" s="4">
        <f t="shared" si="6"/>
        <v>6.5972222222222321E-2</v>
      </c>
      <c r="Q43" s="4">
        <f t="shared" si="7"/>
        <v>7.3611111111111072E-2</v>
      </c>
      <c r="R43" s="5" t="str">
        <f t="shared" si="8"/>
        <v>00:11</v>
      </c>
      <c r="S43" s="3">
        <v>35.799999999999997</v>
      </c>
      <c r="T43" s="18" t="str">
        <f t="shared" si="9"/>
        <v>No</v>
      </c>
    </row>
    <row r="44" spans="1:20" ht="18" x14ac:dyDescent="0.25">
      <c r="A44" s="21">
        <v>0.35069444444444442</v>
      </c>
      <c r="B44" s="14" t="s">
        <v>328</v>
      </c>
      <c r="C44" s="17" t="s">
        <v>301</v>
      </c>
      <c r="D44" s="17" t="s">
        <v>184</v>
      </c>
      <c r="E44" s="17" t="s">
        <v>329</v>
      </c>
      <c r="F44" s="21">
        <v>0.33194444444444443</v>
      </c>
      <c r="H44" s="21">
        <v>0.39583333333333331</v>
      </c>
      <c r="I44" s="17" t="s">
        <v>330</v>
      </c>
      <c r="J44" s="17" t="s">
        <v>278</v>
      </c>
      <c r="K44" s="17" t="s">
        <v>184</v>
      </c>
      <c r="L44" s="17" t="s">
        <v>329</v>
      </c>
      <c r="M44" s="25">
        <v>0.4069444444444445</v>
      </c>
      <c r="N44" s="13" t="str">
        <f t="shared" si="4"/>
        <v>-00:27</v>
      </c>
      <c r="O44" s="13" t="str">
        <f t="shared" si="5"/>
        <v>00:16</v>
      </c>
      <c r="P44" s="4">
        <f t="shared" si="6"/>
        <v>4.5138888888888895E-2</v>
      </c>
      <c r="Q44" s="4">
        <f t="shared" si="7"/>
        <v>7.5000000000000067E-2</v>
      </c>
      <c r="R44" s="5" t="str">
        <f t="shared" si="8"/>
        <v>00:43</v>
      </c>
      <c r="S44" s="3">
        <v>35.799999999999997</v>
      </c>
      <c r="T44" s="18" t="str">
        <f t="shared" si="9"/>
        <v>No</v>
      </c>
    </row>
    <row r="45" spans="1:20" ht="18" x14ac:dyDescent="0.25">
      <c r="A45" s="21">
        <v>0.55555555555555558</v>
      </c>
      <c r="B45" s="17" t="s">
        <v>331</v>
      </c>
      <c r="C45" s="17" t="s">
        <v>278</v>
      </c>
      <c r="D45" s="17" t="s">
        <v>184</v>
      </c>
      <c r="E45" s="17" t="s">
        <v>329</v>
      </c>
      <c r="F45" s="21">
        <v>0.54305555555555551</v>
      </c>
      <c r="H45" s="21">
        <v>0.59027777777777779</v>
      </c>
      <c r="I45" s="14" t="s">
        <v>332</v>
      </c>
      <c r="J45" s="17" t="s">
        <v>333</v>
      </c>
      <c r="K45" s="17" t="s">
        <v>184</v>
      </c>
      <c r="L45" s="17" t="s">
        <v>329</v>
      </c>
      <c r="M45" s="25">
        <v>0.60416666666666663</v>
      </c>
      <c r="N45" s="13" t="str">
        <f t="shared" si="4"/>
        <v>-00:18</v>
      </c>
      <c r="O45" s="13" t="str">
        <f t="shared" si="5"/>
        <v>00:20</v>
      </c>
      <c r="P45" s="4">
        <f t="shared" si="6"/>
        <v>3.472222222222221E-2</v>
      </c>
      <c r="Q45" s="4">
        <f t="shared" si="7"/>
        <v>6.1111111111111116E-2</v>
      </c>
      <c r="R45" s="5" t="str">
        <f t="shared" si="8"/>
        <v>00:38</v>
      </c>
      <c r="S45" s="3">
        <v>35.799999999999997</v>
      </c>
      <c r="T45" s="18" t="str">
        <f t="shared" si="9"/>
        <v>No</v>
      </c>
    </row>
    <row r="46" spans="1:20" ht="18" x14ac:dyDescent="0.25">
      <c r="A46" s="21">
        <v>0.3611111111111111</v>
      </c>
      <c r="B46" s="14" t="s">
        <v>334</v>
      </c>
      <c r="C46" s="17" t="s">
        <v>297</v>
      </c>
      <c r="D46" s="17" t="s">
        <v>184</v>
      </c>
      <c r="E46" s="17" t="s">
        <v>335</v>
      </c>
      <c r="F46" s="21">
        <v>0.35138888888888892</v>
      </c>
      <c r="H46" s="21">
        <v>0.40972222222222227</v>
      </c>
      <c r="I46" s="14" t="s">
        <v>336</v>
      </c>
      <c r="J46" s="17" t="s">
        <v>174</v>
      </c>
      <c r="K46" s="17" t="s">
        <v>184</v>
      </c>
      <c r="L46" s="17" t="s">
        <v>335</v>
      </c>
      <c r="M46" s="25">
        <v>0.42708333333333331</v>
      </c>
      <c r="N46" s="13" t="str">
        <f t="shared" si="4"/>
        <v>-00:14</v>
      </c>
      <c r="O46" s="13" t="str">
        <f t="shared" si="5"/>
        <v>00:25</v>
      </c>
      <c r="P46" s="4">
        <f t="shared" si="6"/>
        <v>4.861111111111116E-2</v>
      </c>
      <c r="Q46" s="4">
        <f t="shared" si="7"/>
        <v>7.5694444444444398E-2</v>
      </c>
      <c r="R46" s="5" t="str">
        <f t="shared" si="8"/>
        <v>00:39</v>
      </c>
      <c r="S46" s="3">
        <v>35.799999999999997</v>
      </c>
      <c r="T46" s="18" t="str">
        <f t="shared" si="9"/>
        <v>No</v>
      </c>
    </row>
    <row r="47" spans="1:20" ht="18" x14ac:dyDescent="0.25">
      <c r="A47" s="21">
        <v>0.63194444444444442</v>
      </c>
      <c r="B47" s="17" t="s">
        <v>337</v>
      </c>
      <c r="C47" s="17" t="s">
        <v>174</v>
      </c>
      <c r="D47" s="17" t="s">
        <v>184</v>
      </c>
      <c r="E47" s="17" t="s">
        <v>335</v>
      </c>
      <c r="F47" s="21">
        <v>0.62222222222222223</v>
      </c>
      <c r="H47" s="21">
        <v>0.64583333333333337</v>
      </c>
      <c r="I47" s="17" t="s">
        <v>338</v>
      </c>
      <c r="J47" s="17" t="s">
        <v>339</v>
      </c>
      <c r="K47" s="17" t="s">
        <v>209</v>
      </c>
      <c r="L47" s="17" t="s">
        <v>340</v>
      </c>
      <c r="M47" s="25">
        <v>0.64583333333333337</v>
      </c>
      <c r="N47" s="13" t="str">
        <f t="shared" si="4"/>
        <v>-00:14</v>
      </c>
      <c r="O47" s="13" t="str">
        <f t="shared" si="5"/>
        <v>00:00</v>
      </c>
      <c r="P47" s="4">
        <f t="shared" si="6"/>
        <v>1.3888888888888951E-2</v>
      </c>
      <c r="Q47" s="4">
        <f t="shared" si="7"/>
        <v>2.3611111111111138E-2</v>
      </c>
      <c r="R47" s="5" t="str">
        <f t="shared" si="8"/>
        <v>00:14</v>
      </c>
      <c r="S47" s="3">
        <v>35.799999999999997</v>
      </c>
      <c r="T47" s="18" t="str">
        <f t="shared" si="9"/>
        <v>No</v>
      </c>
    </row>
    <row r="48" spans="1:20" ht="18" x14ac:dyDescent="0.25">
      <c r="A48" s="21">
        <v>0.3576388888888889</v>
      </c>
      <c r="B48" s="14" t="s">
        <v>341</v>
      </c>
      <c r="C48" s="17" t="s">
        <v>293</v>
      </c>
      <c r="D48" s="17" t="s">
        <v>184</v>
      </c>
      <c r="E48" s="17" t="s">
        <v>340</v>
      </c>
      <c r="F48" s="21">
        <v>0.35000000000000003</v>
      </c>
      <c r="H48" s="21">
        <v>0.40972222222222227</v>
      </c>
      <c r="I48" s="14" t="s">
        <v>342</v>
      </c>
      <c r="J48" s="17" t="s">
        <v>260</v>
      </c>
      <c r="K48" s="17" t="s">
        <v>184</v>
      </c>
      <c r="L48" s="17" t="s">
        <v>340</v>
      </c>
      <c r="M48" s="25">
        <v>0.4201388888888889</v>
      </c>
      <c r="N48" s="13" t="str">
        <f t="shared" si="4"/>
        <v>-00:11</v>
      </c>
      <c r="O48" s="13" t="str">
        <f t="shared" si="5"/>
        <v>00:15</v>
      </c>
      <c r="P48" s="4">
        <f t="shared" si="6"/>
        <v>5.208333333333337E-2</v>
      </c>
      <c r="Q48" s="4">
        <f t="shared" si="7"/>
        <v>7.0138888888888862E-2</v>
      </c>
      <c r="R48" s="5" t="str">
        <f t="shared" si="8"/>
        <v>00:26</v>
      </c>
      <c r="S48" s="3">
        <v>35.799999999999997</v>
      </c>
      <c r="T48" s="18" t="str">
        <f t="shared" si="9"/>
        <v>No</v>
      </c>
    </row>
    <row r="49" spans="1:20" ht="18" x14ac:dyDescent="0.25">
      <c r="A49" s="21">
        <v>0.56597222222222221</v>
      </c>
      <c r="B49" s="17" t="s">
        <v>343</v>
      </c>
      <c r="C49" s="17" t="s">
        <v>260</v>
      </c>
      <c r="D49" s="17" t="s">
        <v>184</v>
      </c>
      <c r="E49" s="17" t="s">
        <v>340</v>
      </c>
      <c r="F49" s="21">
        <v>0.56944444444444442</v>
      </c>
      <c r="H49" s="21">
        <v>0.60416666666666663</v>
      </c>
      <c r="I49" s="14" t="s">
        <v>344</v>
      </c>
      <c r="J49" s="17" t="s">
        <v>174</v>
      </c>
      <c r="K49" s="17" t="s">
        <v>184</v>
      </c>
      <c r="L49" s="17" t="s">
        <v>340</v>
      </c>
      <c r="M49" s="25">
        <v>0.61388888888888882</v>
      </c>
      <c r="N49" s="13" t="str">
        <f t="shared" si="4"/>
        <v>00:05</v>
      </c>
      <c r="O49" s="13" t="str">
        <f t="shared" si="5"/>
        <v>00:14</v>
      </c>
      <c r="P49" s="4">
        <f t="shared" si="6"/>
        <v>3.819444444444442E-2</v>
      </c>
      <c r="Q49" s="4">
        <f t="shared" si="7"/>
        <v>4.4444444444444398E-2</v>
      </c>
      <c r="R49" s="5" t="str">
        <f t="shared" si="8"/>
        <v>00:09</v>
      </c>
      <c r="S49" s="3">
        <v>35.799999999999997</v>
      </c>
      <c r="T49" s="18" t="str">
        <f t="shared" si="9"/>
        <v>No</v>
      </c>
    </row>
    <row r="50" spans="1:20" ht="18" x14ac:dyDescent="0.25">
      <c r="A50" s="21">
        <v>0.43055555555555558</v>
      </c>
      <c r="B50" s="14" t="s">
        <v>345</v>
      </c>
      <c r="C50" s="17" t="s">
        <v>245</v>
      </c>
      <c r="D50" s="17" t="s">
        <v>346</v>
      </c>
      <c r="E50" s="17" t="s">
        <v>347</v>
      </c>
      <c r="F50" s="21">
        <v>0.42569444444444443</v>
      </c>
      <c r="H50" s="21">
        <v>0.45833333333333331</v>
      </c>
      <c r="I50" s="17" t="s">
        <v>350</v>
      </c>
      <c r="J50" s="17" t="s">
        <v>349</v>
      </c>
      <c r="K50" s="17" t="s">
        <v>346</v>
      </c>
      <c r="L50" s="17" t="s">
        <v>347</v>
      </c>
      <c r="M50" s="25">
        <v>0.46736111111111112</v>
      </c>
      <c r="N50" s="13" t="str">
        <f t="shared" si="4"/>
        <v>-00:07</v>
      </c>
      <c r="O50" s="13" t="str">
        <f t="shared" si="5"/>
        <v>00:13</v>
      </c>
      <c r="P50" s="4">
        <f t="shared" si="6"/>
        <v>2.7777777777777735E-2</v>
      </c>
      <c r="Q50" s="4">
        <f t="shared" si="7"/>
        <v>4.1666666666666685E-2</v>
      </c>
      <c r="R50" s="5" t="str">
        <f t="shared" si="8"/>
        <v>00:20</v>
      </c>
      <c r="S50" s="3">
        <v>35.799999999999997</v>
      </c>
      <c r="T50" s="18" t="str">
        <f t="shared" si="9"/>
        <v>No</v>
      </c>
    </row>
    <row r="51" spans="1:20" ht="18" x14ac:dyDescent="0.25">
      <c r="A51" s="21">
        <v>0.65277777777777779</v>
      </c>
      <c r="B51" s="17" t="s">
        <v>348</v>
      </c>
      <c r="C51" s="17" t="s">
        <v>349</v>
      </c>
      <c r="D51" s="17" t="s">
        <v>346</v>
      </c>
      <c r="E51" s="17" t="s">
        <v>347</v>
      </c>
      <c r="F51" s="21">
        <v>0.64513888888888882</v>
      </c>
      <c r="H51" s="21">
        <v>0.78125</v>
      </c>
      <c r="I51" s="14" t="s">
        <v>351</v>
      </c>
      <c r="J51" s="17" t="s">
        <v>245</v>
      </c>
      <c r="K51" s="17" t="s">
        <v>346</v>
      </c>
      <c r="L51" s="17" t="s">
        <v>347</v>
      </c>
      <c r="M51" s="25">
        <v>0.79166666666666663</v>
      </c>
      <c r="N51" s="13" t="str">
        <f t="shared" si="4"/>
        <v>-00:11</v>
      </c>
      <c r="O51" s="13" t="str">
        <f t="shared" si="5"/>
        <v>00:15</v>
      </c>
      <c r="P51" s="4">
        <f t="shared" si="6"/>
        <v>0.12847222222222221</v>
      </c>
      <c r="Q51" s="4">
        <f t="shared" si="7"/>
        <v>0.14652777777777781</v>
      </c>
      <c r="R51" s="5" t="str">
        <f t="shared" si="8"/>
        <v>00:26</v>
      </c>
      <c r="S51" s="3">
        <v>35.799999999999997</v>
      </c>
      <c r="T51" s="18" t="str">
        <f t="shared" si="9"/>
        <v>No</v>
      </c>
    </row>
    <row r="52" spans="1:20" ht="18" x14ac:dyDescent="0.25">
      <c r="A52" s="21">
        <v>0.36805555555555558</v>
      </c>
      <c r="B52" s="14" t="s">
        <v>352</v>
      </c>
      <c r="C52" s="17" t="s">
        <v>353</v>
      </c>
      <c r="D52" s="17" t="s">
        <v>354</v>
      </c>
      <c r="E52" s="17" t="s">
        <v>355</v>
      </c>
      <c r="F52" s="21">
        <v>0.35694444444444445</v>
      </c>
      <c r="H52" s="21">
        <v>0.40625</v>
      </c>
      <c r="I52" s="14" t="s">
        <v>356</v>
      </c>
      <c r="J52" s="17" t="s">
        <v>353</v>
      </c>
      <c r="K52" s="17" t="s">
        <v>354</v>
      </c>
      <c r="L52" s="17" t="s">
        <v>355</v>
      </c>
      <c r="M52" s="25">
        <v>0.41875000000000001</v>
      </c>
      <c r="N52" s="13" t="str">
        <f t="shared" si="4"/>
        <v>-00:16</v>
      </c>
      <c r="O52" s="13" t="str">
        <f t="shared" si="5"/>
        <v>00:18</v>
      </c>
      <c r="P52" s="4">
        <f t="shared" si="6"/>
        <v>3.819444444444442E-2</v>
      </c>
      <c r="Q52" s="4">
        <f t="shared" si="7"/>
        <v>6.1805555555555558E-2</v>
      </c>
      <c r="R52" s="5" t="str">
        <f t="shared" si="8"/>
        <v>00:34</v>
      </c>
      <c r="S52" s="3">
        <v>35.799999999999997</v>
      </c>
      <c r="T52" s="18" t="str">
        <f t="shared" si="9"/>
        <v>Yes</v>
      </c>
    </row>
    <row r="53" spans="1:20" ht="18" x14ac:dyDescent="0.25">
      <c r="A53" s="21">
        <v>0.50347222222222221</v>
      </c>
      <c r="B53" s="17" t="s">
        <v>357</v>
      </c>
      <c r="C53" s="17" t="s">
        <v>358</v>
      </c>
      <c r="D53" s="17" t="s">
        <v>359</v>
      </c>
      <c r="E53" s="17" t="s">
        <v>360</v>
      </c>
      <c r="F53" s="21">
        <v>0.49861111111111112</v>
      </c>
      <c r="H53" s="21">
        <v>0.53819444444444442</v>
      </c>
      <c r="I53" s="17" t="s">
        <v>361</v>
      </c>
      <c r="J53" s="17" t="s">
        <v>358</v>
      </c>
      <c r="K53" s="17" t="s">
        <v>359</v>
      </c>
      <c r="L53" s="17" t="s">
        <v>360</v>
      </c>
      <c r="M53" s="25">
        <v>0.55208333333333337</v>
      </c>
      <c r="N53" s="13" t="str">
        <f t="shared" si="4"/>
        <v>-00:07</v>
      </c>
      <c r="O53" s="13" t="str">
        <f t="shared" si="5"/>
        <v>00:20</v>
      </c>
      <c r="P53" s="4">
        <f t="shared" si="6"/>
        <v>3.472222222222221E-2</v>
      </c>
      <c r="Q53" s="4">
        <f t="shared" si="7"/>
        <v>5.3472222222222254E-2</v>
      </c>
      <c r="R53" s="5" t="str">
        <f t="shared" si="8"/>
        <v>00:27</v>
      </c>
      <c r="S53" s="3">
        <v>35.799999999999997</v>
      </c>
      <c r="T53" s="18" t="str">
        <f t="shared" si="9"/>
        <v>Yes</v>
      </c>
    </row>
    <row r="54" spans="1:20" ht="18" x14ac:dyDescent="0.25">
      <c r="A54" s="21">
        <v>0.49652777777777773</v>
      </c>
      <c r="B54" s="17" t="s">
        <v>362</v>
      </c>
      <c r="C54" s="17" t="s">
        <v>363</v>
      </c>
      <c r="D54" s="17" t="s">
        <v>359</v>
      </c>
      <c r="E54" s="17" t="s">
        <v>364</v>
      </c>
      <c r="F54" s="21">
        <v>0.48125000000000001</v>
      </c>
      <c r="H54" s="21">
        <v>0.53125</v>
      </c>
      <c r="I54" s="17" t="s">
        <v>365</v>
      </c>
      <c r="J54" s="17" t="s">
        <v>363</v>
      </c>
      <c r="K54" s="17" t="s">
        <v>359</v>
      </c>
      <c r="L54" s="17" t="s">
        <v>364</v>
      </c>
      <c r="M54" s="25">
        <v>0.55347222222222225</v>
      </c>
      <c r="N54" s="13" t="str">
        <f t="shared" si="4"/>
        <v>-00:22</v>
      </c>
      <c r="O54" s="13" t="str">
        <f t="shared" si="5"/>
        <v>00:32</v>
      </c>
      <c r="P54" s="4">
        <f t="shared" si="6"/>
        <v>3.4722222222222265E-2</v>
      </c>
      <c r="Q54" s="4">
        <f t="shared" si="7"/>
        <v>7.2222222222222243E-2</v>
      </c>
      <c r="R54" s="5" t="str">
        <f t="shared" si="8"/>
        <v>00:54</v>
      </c>
      <c r="S54" s="3">
        <v>35.799999999999997</v>
      </c>
      <c r="T54" s="18" t="str">
        <f t="shared" si="9"/>
        <v>Yes</v>
      </c>
    </row>
    <row r="55" spans="1:20" ht="18" x14ac:dyDescent="0.25">
      <c r="A55" s="21">
        <v>0.4826388888888889</v>
      </c>
      <c r="B55" s="17" t="s">
        <v>366</v>
      </c>
      <c r="C55" s="17" t="s">
        <v>367</v>
      </c>
      <c r="D55" s="17" t="s">
        <v>359</v>
      </c>
      <c r="E55" s="17" t="s">
        <v>368</v>
      </c>
      <c r="F55" s="21">
        <v>0.4680555555555555</v>
      </c>
      <c r="H55" s="21">
        <v>0.51736111111111105</v>
      </c>
      <c r="I55" s="17" t="s">
        <v>369</v>
      </c>
      <c r="J55" s="17" t="s">
        <v>367</v>
      </c>
      <c r="K55" s="17" t="s">
        <v>359</v>
      </c>
      <c r="L55" s="17" t="s">
        <v>368</v>
      </c>
      <c r="M55" s="25">
        <v>0.53819444444444442</v>
      </c>
      <c r="N55" s="13" t="str">
        <f t="shared" si="4"/>
        <v>-00:21</v>
      </c>
      <c r="O55" s="13" t="str">
        <f t="shared" si="5"/>
        <v>00:30</v>
      </c>
      <c r="P55" s="4">
        <f t="shared" si="6"/>
        <v>3.4722222222222154E-2</v>
      </c>
      <c r="Q55" s="4">
        <f t="shared" si="7"/>
        <v>7.0138888888888917E-2</v>
      </c>
      <c r="R55" s="5" t="str">
        <f t="shared" si="8"/>
        <v>00:51</v>
      </c>
      <c r="S55" s="3">
        <v>35.799999999999997</v>
      </c>
      <c r="T55" s="18" t="str">
        <f t="shared" si="9"/>
        <v>Yes</v>
      </c>
    </row>
    <row r="56" spans="1:20" ht="18" x14ac:dyDescent="0.25">
      <c r="A56" s="21">
        <v>0.46527777777777773</v>
      </c>
      <c r="B56" s="17" t="s">
        <v>370</v>
      </c>
      <c r="C56" s="17" t="s">
        <v>371</v>
      </c>
      <c r="D56" s="17" t="s">
        <v>359</v>
      </c>
      <c r="E56" s="17" t="s">
        <v>372</v>
      </c>
      <c r="F56" s="21">
        <v>0.45833333333333331</v>
      </c>
      <c r="H56" s="21">
        <v>0.5</v>
      </c>
      <c r="I56" s="17" t="s">
        <v>373</v>
      </c>
      <c r="J56" s="17" t="s">
        <v>371</v>
      </c>
      <c r="K56" s="17" t="s">
        <v>359</v>
      </c>
      <c r="L56" s="17" t="s">
        <v>372</v>
      </c>
      <c r="M56" s="25">
        <v>0.51111111111111118</v>
      </c>
      <c r="N56" s="13" t="str">
        <f t="shared" si="4"/>
        <v>-00:10</v>
      </c>
      <c r="O56" s="13" t="str">
        <f t="shared" si="5"/>
        <v>00:16</v>
      </c>
      <c r="P56" s="4">
        <f t="shared" si="6"/>
        <v>3.4722222222222265E-2</v>
      </c>
      <c r="Q56" s="4">
        <f t="shared" si="7"/>
        <v>5.2777777777777868E-2</v>
      </c>
      <c r="R56" s="5" t="str">
        <f t="shared" si="8"/>
        <v>00:26</v>
      </c>
      <c r="S56" s="3">
        <v>35.799999999999997</v>
      </c>
      <c r="T56" s="18" t="str">
        <f t="shared" si="9"/>
        <v>Yes</v>
      </c>
    </row>
    <row r="57" spans="1:20" ht="18" x14ac:dyDescent="0.25">
      <c r="A57" s="21">
        <v>0.3298611111111111</v>
      </c>
      <c r="B57" s="17" t="s">
        <v>374</v>
      </c>
      <c r="C57" s="17" t="s">
        <v>253</v>
      </c>
      <c r="D57" s="17" t="s">
        <v>246</v>
      </c>
      <c r="E57" s="17" t="s">
        <v>375</v>
      </c>
      <c r="F57" s="21">
        <v>0.31944444444444448</v>
      </c>
      <c r="H57" s="21">
        <v>0.3576388888888889</v>
      </c>
      <c r="I57" s="17" t="s">
        <v>376</v>
      </c>
      <c r="J57" s="17" t="s">
        <v>253</v>
      </c>
      <c r="K57" s="17" t="s">
        <v>246</v>
      </c>
      <c r="L57" s="17" t="s">
        <v>375</v>
      </c>
      <c r="M57" s="25">
        <v>0.3659722222222222</v>
      </c>
      <c r="N57" s="13" t="str">
        <f t="shared" si="4"/>
        <v>-00:15</v>
      </c>
      <c r="O57" s="13" t="str">
        <f t="shared" si="5"/>
        <v>00:12</v>
      </c>
      <c r="P57" s="4">
        <f t="shared" si="6"/>
        <v>2.777777777777779E-2</v>
      </c>
      <c r="Q57" s="4">
        <f t="shared" si="7"/>
        <v>4.6527777777777724E-2</v>
      </c>
      <c r="R57" s="5" t="str">
        <f t="shared" si="8"/>
        <v>00:27</v>
      </c>
      <c r="S57" s="3">
        <v>35.799999999999997</v>
      </c>
      <c r="T57" s="18" t="str">
        <f t="shared" si="9"/>
        <v>Yes</v>
      </c>
    </row>
    <row r="58" spans="1:20" ht="18" x14ac:dyDescent="0.25">
      <c r="A58" s="21">
        <v>0.61111111111111105</v>
      </c>
      <c r="B58" s="17" t="s">
        <v>377</v>
      </c>
      <c r="C58" s="17" t="s">
        <v>378</v>
      </c>
      <c r="D58" s="17" t="s">
        <v>379</v>
      </c>
      <c r="E58" s="17" t="s">
        <v>380</v>
      </c>
      <c r="F58" s="21">
        <v>0.58958333333333335</v>
      </c>
      <c r="H58" s="21">
        <v>0.63541666666666663</v>
      </c>
      <c r="I58" s="17" t="s">
        <v>381</v>
      </c>
      <c r="J58" s="17" t="s">
        <v>367</v>
      </c>
      <c r="K58" s="17" t="s">
        <v>379</v>
      </c>
      <c r="L58" s="17" t="s">
        <v>380</v>
      </c>
      <c r="M58" s="25">
        <v>0.64236111111111105</v>
      </c>
      <c r="N58" s="13" t="str">
        <f t="shared" si="4"/>
        <v>-00:31</v>
      </c>
      <c r="O58" s="13" t="str">
        <f t="shared" si="5"/>
        <v>00:10</v>
      </c>
      <c r="P58" s="4">
        <f t="shared" si="6"/>
        <v>2.430555555555558E-2</v>
      </c>
      <c r="Q58" s="4">
        <f t="shared" si="7"/>
        <v>5.2777777777777701E-2</v>
      </c>
      <c r="R58" s="5" t="str">
        <f t="shared" si="8"/>
        <v>00:41</v>
      </c>
      <c r="S58" s="3">
        <v>35.799999999999997</v>
      </c>
      <c r="T58" s="18" t="str">
        <f t="shared" si="9"/>
        <v>No</v>
      </c>
    </row>
    <row r="59" spans="1:20" ht="18" x14ac:dyDescent="0.25">
      <c r="A59" s="21">
        <v>0.59722222222222221</v>
      </c>
      <c r="B59" s="14" t="s">
        <v>382</v>
      </c>
      <c r="C59" s="17" t="s">
        <v>383</v>
      </c>
      <c r="D59" s="17" t="s">
        <v>384</v>
      </c>
      <c r="E59" s="17" t="s">
        <v>385</v>
      </c>
      <c r="F59" s="21">
        <v>0.58888888888888891</v>
      </c>
      <c r="H59" s="21">
        <v>0.62152777777777779</v>
      </c>
      <c r="I59" s="14" t="s">
        <v>386</v>
      </c>
      <c r="J59" s="17" t="s">
        <v>383</v>
      </c>
      <c r="K59" s="17" t="s">
        <v>384</v>
      </c>
      <c r="L59" s="17" t="s">
        <v>385</v>
      </c>
      <c r="M59" s="25">
        <v>0.6430555555555556</v>
      </c>
      <c r="N59" s="13" t="str">
        <f t="shared" si="4"/>
        <v>-00:12</v>
      </c>
      <c r="O59" s="13" t="str">
        <f t="shared" si="5"/>
        <v>00:31</v>
      </c>
      <c r="P59" s="4">
        <f t="shared" si="6"/>
        <v>2.430555555555558E-2</v>
      </c>
      <c r="Q59" s="4">
        <f t="shared" si="7"/>
        <v>5.4166666666666696E-2</v>
      </c>
      <c r="R59" s="5" t="str">
        <f t="shared" si="8"/>
        <v>00:43</v>
      </c>
      <c r="S59" s="3">
        <v>35.799999999999997</v>
      </c>
      <c r="T59" s="18" t="str">
        <f t="shared" si="9"/>
        <v>Yes</v>
      </c>
    </row>
    <row r="60" spans="1:20" ht="18" x14ac:dyDescent="0.25">
      <c r="A60" s="21">
        <v>0.3888888888888889</v>
      </c>
      <c r="B60" s="14" t="s">
        <v>387</v>
      </c>
      <c r="C60" s="17" t="s">
        <v>388</v>
      </c>
      <c r="D60" s="17" t="s">
        <v>384</v>
      </c>
      <c r="E60" s="17" t="s">
        <v>389</v>
      </c>
      <c r="F60" s="21">
        <v>0.37291666666666662</v>
      </c>
      <c r="H60" s="21">
        <v>0.41666666666666669</v>
      </c>
      <c r="I60" s="14" t="s">
        <v>390</v>
      </c>
      <c r="J60" s="17" t="s">
        <v>388</v>
      </c>
      <c r="K60" s="17" t="s">
        <v>384</v>
      </c>
      <c r="L60" s="17" t="s">
        <v>389</v>
      </c>
      <c r="M60" s="25">
        <v>0.42083333333333334</v>
      </c>
      <c r="N60" s="13" t="str">
        <f t="shared" si="4"/>
        <v>-00:23</v>
      </c>
      <c r="O60" s="13" t="str">
        <f t="shared" si="5"/>
        <v>00:06</v>
      </c>
      <c r="P60" s="4">
        <f t="shared" si="6"/>
        <v>2.777777777777779E-2</v>
      </c>
      <c r="Q60" s="4">
        <f t="shared" si="7"/>
        <v>4.7916666666666718E-2</v>
      </c>
      <c r="R60" s="5" t="str">
        <f t="shared" si="8"/>
        <v>00:29</v>
      </c>
      <c r="S60" s="3">
        <v>35.799999999999997</v>
      </c>
      <c r="T60" s="18" t="str">
        <f t="shared" si="9"/>
        <v>Yes</v>
      </c>
    </row>
    <row r="61" spans="1:20" ht="18" x14ac:dyDescent="0.25">
      <c r="A61" s="21">
        <v>0.4201388888888889</v>
      </c>
      <c r="B61" s="14" t="s">
        <v>391</v>
      </c>
      <c r="C61" s="17" t="s">
        <v>392</v>
      </c>
      <c r="D61" s="17" t="s">
        <v>384</v>
      </c>
      <c r="E61" s="17" t="s">
        <v>393</v>
      </c>
      <c r="F61" s="21">
        <v>0.41041666666666665</v>
      </c>
      <c r="H61" s="21">
        <v>0.44444444444444442</v>
      </c>
      <c r="I61" s="17" t="s">
        <v>394</v>
      </c>
      <c r="J61" s="17" t="s">
        <v>392</v>
      </c>
      <c r="K61" s="17" t="s">
        <v>384</v>
      </c>
      <c r="L61" s="17" t="s">
        <v>393</v>
      </c>
      <c r="M61" s="25">
        <v>0.45694444444444443</v>
      </c>
      <c r="N61" s="13" t="str">
        <f t="shared" si="4"/>
        <v>-00:14</v>
      </c>
      <c r="O61" s="13" t="str">
        <f t="shared" si="5"/>
        <v>00:18</v>
      </c>
      <c r="P61" s="4">
        <f t="shared" si="6"/>
        <v>2.4305555555555525E-2</v>
      </c>
      <c r="Q61" s="4">
        <f t="shared" si="7"/>
        <v>4.6527777777777779E-2</v>
      </c>
      <c r="R61" s="5" t="str">
        <f t="shared" si="8"/>
        <v>00:32</v>
      </c>
      <c r="S61" s="3">
        <v>35.799999999999997</v>
      </c>
      <c r="T61" s="18" t="str">
        <f t="shared" si="9"/>
        <v>Yes</v>
      </c>
    </row>
    <row r="62" spans="1:20" ht="18" x14ac:dyDescent="0.25">
      <c r="A62" s="21">
        <v>0.39583333333333331</v>
      </c>
      <c r="B62" s="17" t="s">
        <v>395</v>
      </c>
      <c r="C62" s="17" t="s">
        <v>396</v>
      </c>
      <c r="D62" s="17" t="s">
        <v>384</v>
      </c>
      <c r="E62" s="17" t="s">
        <v>397</v>
      </c>
      <c r="F62" s="21">
        <v>0.37083333333333335</v>
      </c>
      <c r="H62" s="21">
        <v>0.4236111111111111</v>
      </c>
      <c r="I62" s="17" t="s">
        <v>398</v>
      </c>
      <c r="J62" s="17" t="s">
        <v>396</v>
      </c>
      <c r="K62" s="17" t="s">
        <v>384</v>
      </c>
      <c r="L62" s="17" t="s">
        <v>397</v>
      </c>
      <c r="M62" s="25">
        <v>0.42986111111111108</v>
      </c>
      <c r="N62" s="13" t="str">
        <f t="shared" si="4"/>
        <v>-00:36</v>
      </c>
      <c r="O62" s="13" t="str">
        <f t="shared" si="5"/>
        <v>00:09</v>
      </c>
      <c r="P62" s="4">
        <f t="shared" si="6"/>
        <v>2.777777777777779E-2</v>
      </c>
      <c r="Q62" s="4">
        <f t="shared" si="7"/>
        <v>5.9027777777777735E-2</v>
      </c>
      <c r="R62" s="5" t="str">
        <f t="shared" si="8"/>
        <v>00:45</v>
      </c>
      <c r="S62" s="3">
        <v>35.799999999999997</v>
      </c>
      <c r="T62" s="18" t="str">
        <f t="shared" si="9"/>
        <v>Yes</v>
      </c>
    </row>
    <row r="63" spans="1:20" ht="18" x14ac:dyDescent="0.25">
      <c r="A63" s="21">
        <v>0.37847222222222227</v>
      </c>
      <c r="B63" s="14" t="s">
        <v>399</v>
      </c>
      <c r="C63" s="17" t="s">
        <v>383</v>
      </c>
      <c r="D63" s="17" t="s">
        <v>384</v>
      </c>
      <c r="E63" s="17" t="s">
        <v>400</v>
      </c>
      <c r="F63" s="21">
        <v>0.3611111111111111</v>
      </c>
      <c r="H63" s="21">
        <v>0.40277777777777773</v>
      </c>
      <c r="I63" s="14" t="s">
        <v>401</v>
      </c>
      <c r="J63" s="17" t="s">
        <v>383</v>
      </c>
      <c r="K63" s="17" t="s">
        <v>384</v>
      </c>
      <c r="L63" s="17" t="s">
        <v>400</v>
      </c>
      <c r="M63" s="25">
        <v>0.41944444444444445</v>
      </c>
      <c r="N63" s="13" t="str">
        <f t="shared" si="4"/>
        <v>-00:25</v>
      </c>
      <c r="O63" s="13" t="str">
        <f t="shared" si="5"/>
        <v>00:24</v>
      </c>
      <c r="P63" s="4">
        <f t="shared" si="6"/>
        <v>2.4305555555555469E-2</v>
      </c>
      <c r="Q63" s="4">
        <f t="shared" si="7"/>
        <v>5.8333333333333348E-2</v>
      </c>
      <c r="R63" s="5" t="str">
        <f t="shared" si="8"/>
        <v>00:49</v>
      </c>
      <c r="S63" s="3">
        <v>35.799999999999997</v>
      </c>
      <c r="T63" s="18" t="str">
        <f t="shared" si="9"/>
        <v>Yes</v>
      </c>
    </row>
    <row r="64" spans="1:20" ht="18" x14ac:dyDescent="0.25">
      <c r="A64" s="21">
        <v>0.61805555555555558</v>
      </c>
      <c r="B64" s="17" t="s">
        <v>402</v>
      </c>
      <c r="C64" s="17" t="s">
        <v>349</v>
      </c>
      <c r="D64" s="17" t="s">
        <v>384</v>
      </c>
      <c r="E64" s="17" t="s">
        <v>403</v>
      </c>
      <c r="F64" s="21">
        <v>0.625</v>
      </c>
      <c r="H64" s="21">
        <v>0.64583333333333337</v>
      </c>
      <c r="I64" s="17" t="s">
        <v>404</v>
      </c>
      <c r="J64" s="17" t="s">
        <v>349</v>
      </c>
      <c r="K64" s="17" t="s">
        <v>384</v>
      </c>
      <c r="L64" s="17" t="s">
        <v>403</v>
      </c>
      <c r="M64" s="25">
        <v>0.65486111111111112</v>
      </c>
      <c r="N64" s="13" t="str">
        <f t="shared" si="4"/>
        <v>00:10</v>
      </c>
      <c r="O64" s="13" t="str">
        <f t="shared" si="5"/>
        <v>00:13</v>
      </c>
      <c r="P64" s="4">
        <f t="shared" si="6"/>
        <v>2.777777777777779E-2</v>
      </c>
      <c r="Q64" s="4">
        <f t="shared" si="7"/>
        <v>2.9861111111111116E-2</v>
      </c>
      <c r="R64" s="5" t="str">
        <f t="shared" si="8"/>
        <v>00:03</v>
      </c>
      <c r="S64" s="3">
        <v>35.799999999999997</v>
      </c>
      <c r="T64" s="18" t="str">
        <f t="shared" si="9"/>
        <v>Yes</v>
      </c>
    </row>
    <row r="65" spans="1:20" ht="18" x14ac:dyDescent="0.25">
      <c r="A65" s="21">
        <v>0.40277777777777773</v>
      </c>
      <c r="B65" s="17" t="s">
        <v>405</v>
      </c>
      <c r="C65" s="17" t="s">
        <v>406</v>
      </c>
      <c r="D65" s="17" t="s">
        <v>407</v>
      </c>
      <c r="E65" s="17" t="s">
        <v>408</v>
      </c>
      <c r="F65" s="21">
        <v>0.40347222222222223</v>
      </c>
      <c r="H65" s="21">
        <v>0.43055555555555558</v>
      </c>
      <c r="I65" s="17" t="s">
        <v>409</v>
      </c>
      <c r="J65" s="17" t="s">
        <v>406</v>
      </c>
      <c r="K65" s="17" t="s">
        <v>407</v>
      </c>
      <c r="L65" s="17" t="s">
        <v>408</v>
      </c>
      <c r="M65" s="25">
        <v>0.4548611111111111</v>
      </c>
      <c r="N65" s="13" t="str">
        <f t="shared" si="4"/>
        <v>00:01</v>
      </c>
      <c r="O65" s="13" t="str">
        <f t="shared" si="5"/>
        <v>00:35</v>
      </c>
      <c r="P65" s="4">
        <f t="shared" si="6"/>
        <v>2.7777777777777846E-2</v>
      </c>
      <c r="Q65" s="4">
        <f t="shared" si="7"/>
        <v>5.1388888888888873E-2</v>
      </c>
      <c r="R65" s="5" t="str">
        <f t="shared" si="8"/>
        <v>00:34</v>
      </c>
      <c r="S65" s="3">
        <v>35.799999999999997</v>
      </c>
      <c r="T65" s="18" t="str">
        <f t="shared" si="9"/>
        <v>Yes</v>
      </c>
    </row>
    <row r="66" spans="1:20" ht="18" x14ac:dyDescent="0.25">
      <c r="A66" s="21">
        <v>0.68055555555555547</v>
      </c>
      <c r="B66" s="17" t="s">
        <v>410</v>
      </c>
      <c r="C66" s="17" t="s">
        <v>411</v>
      </c>
      <c r="D66" s="17" t="s">
        <v>412</v>
      </c>
      <c r="E66" s="17" t="s">
        <v>413</v>
      </c>
      <c r="F66" s="21">
        <v>0.6694444444444444</v>
      </c>
      <c r="H66" s="21">
        <v>0.74652777777777779</v>
      </c>
      <c r="I66" s="17" t="s">
        <v>414</v>
      </c>
      <c r="J66" s="17" t="s">
        <v>415</v>
      </c>
      <c r="K66" s="17" t="s">
        <v>412</v>
      </c>
      <c r="L66" s="17" t="s">
        <v>413</v>
      </c>
      <c r="M66" s="25">
        <v>0.75555555555555554</v>
      </c>
      <c r="N66" s="13" t="str">
        <f t="shared" si="4"/>
        <v>-00:16</v>
      </c>
      <c r="O66" s="13" t="str">
        <f t="shared" si="5"/>
        <v>00:13</v>
      </c>
      <c r="P66" s="4">
        <f t="shared" si="6"/>
        <v>6.5972222222222321E-2</v>
      </c>
      <c r="Q66" s="4">
        <f t="shared" si="7"/>
        <v>8.6111111111111138E-2</v>
      </c>
      <c r="R66" s="5" t="str">
        <f t="shared" si="8"/>
        <v>00:29</v>
      </c>
      <c r="S66" s="3">
        <v>35.799999999999997</v>
      </c>
      <c r="T66" s="18" t="str">
        <f t="shared" si="9"/>
        <v>No</v>
      </c>
    </row>
    <row r="67" spans="1:20" ht="18" x14ac:dyDescent="0.25">
      <c r="A67" s="21">
        <v>0.53472222222222221</v>
      </c>
      <c r="B67" s="17" t="s">
        <v>416</v>
      </c>
      <c r="C67" s="17" t="s">
        <v>392</v>
      </c>
      <c r="D67" s="17" t="s">
        <v>412</v>
      </c>
      <c r="E67" s="17" t="s">
        <v>417</v>
      </c>
      <c r="F67" s="21">
        <v>0.52638888888888891</v>
      </c>
      <c r="H67" s="21">
        <v>0.56944444444444442</v>
      </c>
      <c r="I67" s="17" t="s">
        <v>418</v>
      </c>
      <c r="J67" s="17" t="s">
        <v>411</v>
      </c>
      <c r="K67" s="17" t="s">
        <v>412</v>
      </c>
      <c r="L67" s="17" t="s">
        <v>417</v>
      </c>
      <c r="M67" s="25">
        <v>0.58194444444444449</v>
      </c>
      <c r="N67" s="13" t="str">
        <f t="shared" si="4"/>
        <v>-00:12</v>
      </c>
      <c r="O67" s="13" t="str">
        <f t="shared" si="5"/>
        <v>00:18</v>
      </c>
      <c r="P67" s="4">
        <f t="shared" si="6"/>
        <v>3.472222222222221E-2</v>
      </c>
      <c r="Q67" s="4">
        <f t="shared" si="7"/>
        <v>5.555555555555558E-2</v>
      </c>
      <c r="R67" s="5" t="str">
        <f t="shared" si="8"/>
        <v>00:30</v>
      </c>
      <c r="S67" s="3">
        <v>35.799999999999997</v>
      </c>
      <c r="T67" s="18" t="str">
        <f t="shared" si="9"/>
        <v>No</v>
      </c>
    </row>
    <row r="68" spans="1:20" ht="18" x14ac:dyDescent="0.25">
      <c r="A68" s="21">
        <v>0.60763888888888895</v>
      </c>
      <c r="B68" s="17" t="s">
        <v>419</v>
      </c>
      <c r="C68" s="17" t="s">
        <v>420</v>
      </c>
      <c r="D68" s="17" t="s">
        <v>412</v>
      </c>
      <c r="E68" s="17" t="s">
        <v>421</v>
      </c>
      <c r="F68" s="21">
        <v>0.59861111111111109</v>
      </c>
      <c r="H68" s="21">
        <v>0.64236111111111105</v>
      </c>
      <c r="I68" s="17" t="s">
        <v>422</v>
      </c>
      <c r="J68" s="17" t="s">
        <v>423</v>
      </c>
      <c r="K68" s="17" t="s">
        <v>412</v>
      </c>
      <c r="L68" s="17" t="s">
        <v>421</v>
      </c>
      <c r="M68" s="25">
        <v>0.65138888888888891</v>
      </c>
      <c r="N68" s="13" t="str">
        <f t="shared" ref="N68:N131" si="10">IF(F68&lt;A68, "-"&amp;TEXT(ABS(F68-A68), "hh:mm"), TEXT(F68-A68, "hh:mm"))</f>
        <v>-00:13</v>
      </c>
      <c r="O68" s="13" t="str">
        <f t="shared" ref="O68:O131" si="11">IF(M68&lt;H68, "-"&amp;TEXT(ABS(M68-H68), "hh:mm"), TEXT(M68-H68, "hh:mm"))</f>
        <v>00:13</v>
      </c>
      <c r="P68" s="4">
        <f t="shared" ref="P68:P131" si="12">H68-A68</f>
        <v>3.4722222222222099E-2</v>
      </c>
      <c r="Q68" s="4">
        <f t="shared" ref="Q68:Q131" si="13">M68-F68</f>
        <v>5.2777777777777812E-2</v>
      </c>
      <c r="R68" s="5" t="str">
        <f t="shared" ref="R68:R131" si="14">IF(Q68&lt;P68, "-"&amp;TEXT(ABS(Q68-P68), "hh:mm"), TEXT(Q68-P68, "hh:mm"))</f>
        <v>00:26</v>
      </c>
      <c r="S68" s="3">
        <v>35.799999999999997</v>
      </c>
      <c r="T68" s="18" t="str">
        <f t="shared" ref="T68:T85" si="15">IF(C68=J68, "Yes", "No")</f>
        <v>No</v>
      </c>
    </row>
    <row r="69" spans="1:20" ht="18" x14ac:dyDescent="0.25">
      <c r="A69" s="21">
        <v>0.61111111111111105</v>
      </c>
      <c r="B69" s="17" t="s">
        <v>424</v>
      </c>
      <c r="C69" s="17" t="s">
        <v>187</v>
      </c>
      <c r="D69" s="17" t="s">
        <v>412</v>
      </c>
      <c r="E69" s="17" t="s">
        <v>425</v>
      </c>
      <c r="F69" s="21">
        <v>0.58194444444444449</v>
      </c>
      <c r="H69" s="21">
        <v>0.64930555555555558</v>
      </c>
      <c r="I69" s="17" t="s">
        <v>426</v>
      </c>
      <c r="J69" s="17" t="s">
        <v>427</v>
      </c>
      <c r="K69" s="17" t="s">
        <v>412</v>
      </c>
      <c r="L69" s="17" t="s">
        <v>425</v>
      </c>
      <c r="M69" s="25">
        <v>0.64930555555555558</v>
      </c>
      <c r="N69" s="13" t="str">
        <f t="shared" si="10"/>
        <v>-00:42</v>
      </c>
      <c r="O69" s="13" t="str">
        <f t="shared" si="11"/>
        <v>00:00</v>
      </c>
      <c r="P69" s="4">
        <f t="shared" si="12"/>
        <v>3.8194444444444531E-2</v>
      </c>
      <c r="Q69" s="4">
        <f t="shared" si="13"/>
        <v>6.7361111111111094E-2</v>
      </c>
      <c r="R69" s="5" t="str">
        <f t="shared" si="14"/>
        <v>00:42</v>
      </c>
      <c r="S69" s="3">
        <v>35.799999999999997</v>
      </c>
      <c r="T69" s="18" t="str">
        <f t="shared" si="15"/>
        <v>No</v>
      </c>
    </row>
    <row r="70" spans="1:20" ht="18" x14ac:dyDescent="0.25">
      <c r="A70" s="21">
        <v>0.36805555555555558</v>
      </c>
      <c r="B70" s="14" t="s">
        <v>428</v>
      </c>
      <c r="C70" s="17" t="s">
        <v>429</v>
      </c>
      <c r="D70" s="17" t="s">
        <v>430</v>
      </c>
      <c r="E70" s="17" t="s">
        <v>431</v>
      </c>
      <c r="F70" s="21">
        <v>0.36319444444444443</v>
      </c>
      <c r="H70" s="21">
        <v>0.40625</v>
      </c>
      <c r="I70" s="14" t="s">
        <v>432</v>
      </c>
      <c r="J70" s="17" t="s">
        <v>429</v>
      </c>
      <c r="K70" s="17" t="s">
        <v>430</v>
      </c>
      <c r="L70" s="17" t="s">
        <v>431</v>
      </c>
      <c r="M70" s="25">
        <v>0.42430555555555555</v>
      </c>
      <c r="N70" s="13" t="str">
        <f t="shared" si="10"/>
        <v>-00:07</v>
      </c>
      <c r="O70" s="13" t="str">
        <f t="shared" si="11"/>
        <v>00:26</v>
      </c>
      <c r="P70" s="4">
        <f t="shared" si="12"/>
        <v>3.819444444444442E-2</v>
      </c>
      <c r="Q70" s="4">
        <f t="shared" si="13"/>
        <v>6.1111111111111116E-2</v>
      </c>
      <c r="R70" s="5" t="str">
        <f t="shared" si="14"/>
        <v>00:33</v>
      </c>
      <c r="S70" s="3">
        <v>35.799999999999997</v>
      </c>
      <c r="T70" s="18" t="str">
        <f t="shared" si="15"/>
        <v>Yes</v>
      </c>
    </row>
    <row r="71" spans="1:20" ht="18" x14ac:dyDescent="0.25">
      <c r="A71" s="21">
        <v>0.31944444444444448</v>
      </c>
      <c r="B71" s="17" t="s">
        <v>433</v>
      </c>
      <c r="C71" s="17" t="s">
        <v>285</v>
      </c>
      <c r="D71" s="17" t="s">
        <v>434</v>
      </c>
      <c r="E71" s="17" t="s">
        <v>435</v>
      </c>
      <c r="F71" s="21">
        <v>0.31319444444444444</v>
      </c>
      <c r="H71" s="21">
        <v>0.34027777777777773</v>
      </c>
      <c r="I71" s="17" t="s">
        <v>436</v>
      </c>
      <c r="J71" s="17" t="s">
        <v>285</v>
      </c>
      <c r="K71" s="17" t="s">
        <v>434</v>
      </c>
      <c r="L71" s="17" t="s">
        <v>435</v>
      </c>
      <c r="M71" s="25">
        <v>0.34791666666666665</v>
      </c>
      <c r="N71" s="13" t="str">
        <f t="shared" si="10"/>
        <v>-00:09</v>
      </c>
      <c r="O71" s="13" t="str">
        <f t="shared" si="11"/>
        <v>00:11</v>
      </c>
      <c r="P71" s="4">
        <f t="shared" si="12"/>
        <v>2.0833333333333259E-2</v>
      </c>
      <c r="Q71" s="4">
        <f t="shared" si="13"/>
        <v>3.472222222222221E-2</v>
      </c>
      <c r="R71" s="5" t="str">
        <f t="shared" si="14"/>
        <v>00:20</v>
      </c>
      <c r="S71" s="3">
        <v>35.799999999999997</v>
      </c>
      <c r="T71" s="18" t="str">
        <f t="shared" si="15"/>
        <v>Yes</v>
      </c>
    </row>
    <row r="72" spans="1:20" ht="18" x14ac:dyDescent="0.25">
      <c r="A72" s="21">
        <v>0.67361111111111116</v>
      </c>
      <c r="B72" s="17" t="s">
        <v>437</v>
      </c>
      <c r="C72" s="17" t="s">
        <v>438</v>
      </c>
      <c r="D72" s="17" t="s">
        <v>434</v>
      </c>
      <c r="E72" s="17" t="s">
        <v>439</v>
      </c>
      <c r="F72" s="21">
        <v>0.67708333333333337</v>
      </c>
      <c r="H72" s="21">
        <v>0.69444444444444453</v>
      </c>
      <c r="I72" s="17" t="s">
        <v>440</v>
      </c>
      <c r="J72" s="17" t="s">
        <v>438</v>
      </c>
      <c r="K72" s="17" t="s">
        <v>434</v>
      </c>
      <c r="L72" s="17" t="s">
        <v>439</v>
      </c>
      <c r="M72" s="25">
        <v>0.70138888888888884</v>
      </c>
      <c r="N72" s="13" t="str">
        <f t="shared" si="10"/>
        <v>00:05</v>
      </c>
      <c r="O72" s="13" t="str">
        <f t="shared" si="11"/>
        <v>00:10</v>
      </c>
      <c r="P72" s="4">
        <f t="shared" si="12"/>
        <v>2.083333333333337E-2</v>
      </c>
      <c r="Q72" s="4">
        <f t="shared" si="13"/>
        <v>2.4305555555555469E-2</v>
      </c>
      <c r="R72" s="5" t="str">
        <f t="shared" si="14"/>
        <v>00:05</v>
      </c>
      <c r="S72" s="3">
        <v>35.799999999999997</v>
      </c>
      <c r="T72" s="18" t="str">
        <f t="shared" si="15"/>
        <v>Yes</v>
      </c>
    </row>
    <row r="73" spans="1:20" ht="18" x14ac:dyDescent="0.25">
      <c r="A73" s="21">
        <v>0.58680555555555558</v>
      </c>
      <c r="B73" s="14" t="s">
        <v>441</v>
      </c>
      <c r="C73" s="17" t="s">
        <v>183</v>
      </c>
      <c r="D73" s="17" t="s">
        <v>442</v>
      </c>
      <c r="E73" s="17" t="s">
        <v>443</v>
      </c>
      <c r="F73" s="21">
        <v>0.57430555555555551</v>
      </c>
      <c r="H73" s="21">
        <v>0.61805555555555558</v>
      </c>
      <c r="I73" s="14" t="s">
        <v>444</v>
      </c>
      <c r="J73" s="17" t="s">
        <v>183</v>
      </c>
      <c r="K73" s="17" t="s">
        <v>442</v>
      </c>
      <c r="L73" s="17" t="s">
        <v>443</v>
      </c>
      <c r="M73" s="25">
        <v>0.63888888888888895</v>
      </c>
      <c r="N73" s="13" t="str">
        <f t="shared" si="10"/>
        <v>-00:18</v>
      </c>
      <c r="O73" s="13" t="str">
        <f t="shared" si="11"/>
        <v>00:30</v>
      </c>
      <c r="P73" s="4">
        <f t="shared" si="12"/>
        <v>3.125E-2</v>
      </c>
      <c r="Q73" s="4">
        <f t="shared" si="13"/>
        <v>6.4583333333333437E-2</v>
      </c>
      <c r="R73" s="5" t="str">
        <f t="shared" si="14"/>
        <v>00:48</v>
      </c>
      <c r="S73" s="3">
        <v>35.799999999999997</v>
      </c>
      <c r="T73" s="18" t="str">
        <f t="shared" si="15"/>
        <v>Yes</v>
      </c>
    </row>
    <row r="74" spans="1:20" ht="18" x14ac:dyDescent="0.25">
      <c r="A74" s="21">
        <v>0.37847222222222227</v>
      </c>
      <c r="B74" s="14" t="s">
        <v>445</v>
      </c>
      <c r="C74" s="17" t="s">
        <v>183</v>
      </c>
      <c r="D74" s="17" t="s">
        <v>442</v>
      </c>
      <c r="E74" s="17" t="s">
        <v>446</v>
      </c>
      <c r="F74" s="21">
        <v>0.36458333333333331</v>
      </c>
      <c r="H74" s="21">
        <v>0.40972222222222227</v>
      </c>
      <c r="I74" s="14" t="s">
        <v>447</v>
      </c>
      <c r="J74" s="17" t="s">
        <v>183</v>
      </c>
      <c r="K74" s="17" t="s">
        <v>442</v>
      </c>
      <c r="L74" s="17" t="s">
        <v>446</v>
      </c>
      <c r="M74" s="25">
        <v>0.42291666666666666</v>
      </c>
      <c r="N74" s="13" t="str">
        <f t="shared" si="10"/>
        <v>-00:20</v>
      </c>
      <c r="O74" s="13" t="str">
        <f t="shared" si="11"/>
        <v>00:19</v>
      </c>
      <c r="P74" s="4">
        <f t="shared" si="12"/>
        <v>3.125E-2</v>
      </c>
      <c r="Q74" s="4">
        <f t="shared" si="13"/>
        <v>5.8333333333333348E-2</v>
      </c>
      <c r="R74" s="5" t="str">
        <f t="shared" si="14"/>
        <v>00:39</v>
      </c>
      <c r="S74" s="3">
        <v>35.799999999999997</v>
      </c>
      <c r="T74" s="18" t="str">
        <f t="shared" si="15"/>
        <v>Yes</v>
      </c>
    </row>
    <row r="75" spans="1:20" ht="18" x14ac:dyDescent="0.25">
      <c r="A75" s="21">
        <v>0.36458333333333331</v>
      </c>
      <c r="B75" s="14" t="s">
        <v>448</v>
      </c>
      <c r="C75" s="17" t="s">
        <v>200</v>
      </c>
      <c r="D75" s="17" t="s">
        <v>449</v>
      </c>
      <c r="E75" s="17" t="s">
        <v>450</v>
      </c>
      <c r="F75" s="21">
        <v>0.35972222222222222</v>
      </c>
      <c r="H75" s="21">
        <v>0.40625</v>
      </c>
      <c r="I75" s="14" t="s">
        <v>451</v>
      </c>
      <c r="J75" s="17" t="s">
        <v>438</v>
      </c>
      <c r="K75" s="17" t="s">
        <v>449</v>
      </c>
      <c r="L75" s="17" t="s">
        <v>450</v>
      </c>
      <c r="M75" s="25">
        <v>0.4145833333333333</v>
      </c>
      <c r="N75" s="13" t="str">
        <f t="shared" si="10"/>
        <v>-00:07</v>
      </c>
      <c r="O75" s="13" t="str">
        <f t="shared" si="11"/>
        <v>00:12</v>
      </c>
      <c r="P75" s="4">
        <f t="shared" si="12"/>
        <v>4.1666666666666685E-2</v>
      </c>
      <c r="Q75" s="4">
        <f t="shared" si="13"/>
        <v>5.4861111111111083E-2</v>
      </c>
      <c r="R75" s="5" t="str">
        <f t="shared" si="14"/>
        <v>00:19</v>
      </c>
      <c r="S75" s="3">
        <v>35.799999999999997</v>
      </c>
      <c r="T75" s="18" t="str">
        <f t="shared" si="15"/>
        <v>No</v>
      </c>
    </row>
    <row r="76" spans="1:20" ht="18" x14ac:dyDescent="0.25">
      <c r="A76" s="21">
        <v>0.59027777777777779</v>
      </c>
      <c r="B76" s="17" t="s">
        <v>452</v>
      </c>
      <c r="C76" s="17" t="s">
        <v>438</v>
      </c>
      <c r="D76" s="17" t="s">
        <v>449</v>
      </c>
      <c r="E76" s="17" t="s">
        <v>450</v>
      </c>
      <c r="F76" s="21">
        <v>0.58124999999999993</v>
      </c>
      <c r="H76" s="21">
        <v>0.64930555555555558</v>
      </c>
      <c r="I76" s="14" t="s">
        <v>453</v>
      </c>
      <c r="J76" s="17" t="s">
        <v>183</v>
      </c>
      <c r="K76" s="17" t="s">
        <v>449</v>
      </c>
      <c r="L76" s="17" t="s">
        <v>450</v>
      </c>
      <c r="M76" s="25">
        <v>0.64930555555555558</v>
      </c>
      <c r="N76" s="13" t="str">
        <f t="shared" si="10"/>
        <v>-00:13</v>
      </c>
      <c r="O76" s="13" t="str">
        <f t="shared" si="11"/>
        <v>00:00</v>
      </c>
      <c r="P76" s="4">
        <f t="shared" si="12"/>
        <v>5.902777777777779E-2</v>
      </c>
      <c r="Q76" s="4">
        <f t="shared" si="13"/>
        <v>6.8055555555555647E-2</v>
      </c>
      <c r="R76" s="5" t="str">
        <f t="shared" si="14"/>
        <v>00:13</v>
      </c>
      <c r="S76" s="3">
        <v>35.799999999999997</v>
      </c>
      <c r="T76" s="18" t="str">
        <f t="shared" si="15"/>
        <v>No</v>
      </c>
    </row>
    <row r="77" spans="1:20" ht="18" x14ac:dyDescent="0.25">
      <c r="A77" s="21">
        <v>0.19444444444444445</v>
      </c>
      <c r="B77" s="17" t="s">
        <v>454</v>
      </c>
      <c r="C77" s="17" t="s">
        <v>455</v>
      </c>
      <c r="D77" s="17" t="s">
        <v>184</v>
      </c>
      <c r="E77" s="17" t="s">
        <v>456</v>
      </c>
      <c r="F77" s="21">
        <v>0.17083333333333331</v>
      </c>
      <c r="H77" s="21">
        <v>0.28819444444444448</v>
      </c>
      <c r="I77" s="17" t="s">
        <v>457</v>
      </c>
      <c r="J77" s="17" t="s">
        <v>429</v>
      </c>
      <c r="K77" s="17" t="s">
        <v>184</v>
      </c>
      <c r="L77" s="17" t="s">
        <v>456</v>
      </c>
      <c r="M77" s="25">
        <v>0.29305555555555557</v>
      </c>
      <c r="N77" s="13" t="str">
        <f t="shared" si="10"/>
        <v>-00:34</v>
      </c>
      <c r="O77" s="13" t="str">
        <f t="shared" si="11"/>
        <v>00:07</v>
      </c>
      <c r="P77" s="4">
        <f t="shared" si="12"/>
        <v>9.3750000000000028E-2</v>
      </c>
      <c r="Q77" s="4">
        <f t="shared" si="13"/>
        <v>0.12222222222222226</v>
      </c>
      <c r="R77" s="5" t="str">
        <f t="shared" si="14"/>
        <v>00:41</v>
      </c>
      <c r="S77" s="3">
        <v>35.799999999999997</v>
      </c>
      <c r="T77" s="18" t="str">
        <f t="shared" si="15"/>
        <v>No</v>
      </c>
    </row>
    <row r="78" spans="1:20" ht="18" x14ac:dyDescent="0.25">
      <c r="A78" s="21">
        <v>0.42708333333333331</v>
      </c>
      <c r="B78" s="14" t="s">
        <v>458</v>
      </c>
      <c r="C78" s="17" t="s">
        <v>429</v>
      </c>
      <c r="D78" s="17" t="s">
        <v>184</v>
      </c>
      <c r="E78" s="17" t="s">
        <v>456</v>
      </c>
      <c r="F78" s="21">
        <v>0.41736111111111113</v>
      </c>
      <c r="H78" s="21">
        <v>0.51388888888888895</v>
      </c>
      <c r="I78" s="14" t="s">
        <v>459</v>
      </c>
      <c r="J78" s="17" t="s">
        <v>383</v>
      </c>
      <c r="K78" s="17" t="s">
        <v>184</v>
      </c>
      <c r="L78" s="17" t="s">
        <v>456</v>
      </c>
      <c r="M78" s="25">
        <v>0.52430555555555558</v>
      </c>
      <c r="N78" s="13" t="str">
        <f t="shared" si="10"/>
        <v>-00:14</v>
      </c>
      <c r="O78" s="13" t="str">
        <f t="shared" si="11"/>
        <v>00:15</v>
      </c>
      <c r="P78" s="4">
        <f t="shared" si="12"/>
        <v>8.6805555555555636E-2</v>
      </c>
      <c r="Q78" s="4">
        <f t="shared" si="13"/>
        <v>0.10694444444444445</v>
      </c>
      <c r="R78" s="5" t="str">
        <f t="shared" si="14"/>
        <v>00:29</v>
      </c>
      <c r="S78" s="3">
        <v>35.799999999999997</v>
      </c>
      <c r="T78" s="18" t="str">
        <f t="shared" si="15"/>
        <v>No</v>
      </c>
    </row>
    <row r="79" spans="1:20" ht="18" x14ac:dyDescent="0.25">
      <c r="A79" s="21">
        <v>0.60763888888888895</v>
      </c>
      <c r="B79" s="17" t="s">
        <v>460</v>
      </c>
      <c r="C79" s="17" t="s">
        <v>388</v>
      </c>
      <c r="D79" s="17" t="s">
        <v>184</v>
      </c>
      <c r="E79" s="17" t="s">
        <v>461</v>
      </c>
      <c r="F79" s="21">
        <v>0.64236111111111105</v>
      </c>
      <c r="H79" s="21">
        <v>0.6875</v>
      </c>
      <c r="I79" s="14" t="s">
        <v>462</v>
      </c>
      <c r="J79" s="17" t="s">
        <v>463</v>
      </c>
      <c r="K79" s="17" t="s">
        <v>184</v>
      </c>
      <c r="L79" s="17" t="s">
        <v>461</v>
      </c>
      <c r="M79" s="25">
        <v>0.69513888888888886</v>
      </c>
      <c r="N79" s="13" t="str">
        <f t="shared" si="10"/>
        <v>00:50</v>
      </c>
      <c r="O79" s="13" t="str">
        <f t="shared" si="11"/>
        <v>00:11</v>
      </c>
      <c r="P79" s="4">
        <f t="shared" si="12"/>
        <v>7.9861111111111049E-2</v>
      </c>
      <c r="Q79" s="4">
        <f t="shared" si="13"/>
        <v>5.2777777777777812E-2</v>
      </c>
      <c r="R79" s="5" t="str">
        <f t="shared" si="14"/>
        <v>-00:39</v>
      </c>
      <c r="S79" s="3">
        <v>35.799999999999997</v>
      </c>
      <c r="T79" s="18" t="str">
        <f t="shared" si="15"/>
        <v>No</v>
      </c>
    </row>
    <row r="80" spans="1:20" ht="18" x14ac:dyDescent="0.25">
      <c r="A80" s="21">
        <v>0.58333333333333337</v>
      </c>
      <c r="B80" s="17" t="s">
        <v>464</v>
      </c>
      <c r="C80" s="17" t="s">
        <v>420</v>
      </c>
      <c r="D80" s="17" t="s">
        <v>184</v>
      </c>
      <c r="E80" s="17" t="s">
        <v>465</v>
      </c>
      <c r="F80" s="21">
        <v>0.57777777777777783</v>
      </c>
      <c r="H80" s="21">
        <v>0.68402777777777779</v>
      </c>
      <c r="I80" s="17" t="s">
        <v>466</v>
      </c>
      <c r="J80" s="17" t="s">
        <v>392</v>
      </c>
      <c r="K80" s="17" t="s">
        <v>184</v>
      </c>
      <c r="L80" s="17" t="s">
        <v>465</v>
      </c>
      <c r="M80" s="25">
        <v>0.69236111111111109</v>
      </c>
      <c r="N80" s="13" t="str">
        <f t="shared" si="10"/>
        <v>-00:08</v>
      </c>
      <c r="O80" s="13" t="str">
        <f t="shared" si="11"/>
        <v>00:12</v>
      </c>
      <c r="P80" s="4">
        <f t="shared" si="12"/>
        <v>0.10069444444444442</v>
      </c>
      <c r="Q80" s="4">
        <f t="shared" si="13"/>
        <v>0.11458333333333326</v>
      </c>
      <c r="R80" s="5" t="str">
        <f t="shared" si="14"/>
        <v>00:20</v>
      </c>
      <c r="S80" s="3">
        <v>35.799999999999997</v>
      </c>
      <c r="T80" s="18" t="str">
        <f t="shared" si="15"/>
        <v>No</v>
      </c>
    </row>
    <row r="81" spans="1:20" ht="18" x14ac:dyDescent="0.25">
      <c r="A81" s="21">
        <v>0.4548611111111111</v>
      </c>
      <c r="B81" s="14" t="s">
        <v>467</v>
      </c>
      <c r="C81" s="17" t="s">
        <v>468</v>
      </c>
      <c r="D81" s="17" t="s">
        <v>184</v>
      </c>
      <c r="E81" s="17" t="s">
        <v>469</v>
      </c>
      <c r="F81" s="21">
        <v>0.43333333333333335</v>
      </c>
      <c r="H81" s="21">
        <v>0.57638888888888895</v>
      </c>
      <c r="I81" s="14" t="s">
        <v>470</v>
      </c>
      <c r="J81" s="17" t="s">
        <v>438</v>
      </c>
      <c r="K81" s="17" t="s">
        <v>184</v>
      </c>
      <c r="L81" s="17" t="s">
        <v>469</v>
      </c>
      <c r="M81" s="25">
        <v>0.6118055555555556</v>
      </c>
      <c r="N81" s="13" t="str">
        <f t="shared" si="10"/>
        <v>-00:31</v>
      </c>
      <c r="O81" s="13" t="str">
        <f t="shared" si="11"/>
        <v>00:51</v>
      </c>
      <c r="P81" s="4">
        <f t="shared" si="12"/>
        <v>0.12152777777777785</v>
      </c>
      <c r="Q81" s="4">
        <f t="shared" si="13"/>
        <v>0.17847222222222225</v>
      </c>
      <c r="R81" s="5" t="str">
        <f t="shared" si="14"/>
        <v>01:22</v>
      </c>
      <c r="S81" s="3">
        <v>35.799999999999997</v>
      </c>
      <c r="T81" s="18" t="str">
        <f t="shared" si="15"/>
        <v>No</v>
      </c>
    </row>
    <row r="82" spans="1:20" ht="18" x14ac:dyDescent="0.25">
      <c r="A82" s="21">
        <v>0.48958333333333331</v>
      </c>
      <c r="B82" s="17" t="s">
        <v>471</v>
      </c>
      <c r="C82" s="17" t="s">
        <v>396</v>
      </c>
      <c r="D82" s="17" t="s">
        <v>184</v>
      </c>
      <c r="E82" s="17" t="s">
        <v>472</v>
      </c>
      <c r="F82" s="21">
        <v>0.48749999999999999</v>
      </c>
      <c r="H82" s="21">
        <v>0.55555555555555558</v>
      </c>
      <c r="I82" s="17" t="s">
        <v>473</v>
      </c>
      <c r="J82" s="17" t="s">
        <v>411</v>
      </c>
      <c r="K82" s="17" t="s">
        <v>184</v>
      </c>
      <c r="L82" s="17" t="s">
        <v>472</v>
      </c>
      <c r="M82" s="25">
        <v>0.57500000000000007</v>
      </c>
      <c r="N82" s="13" t="str">
        <f t="shared" si="10"/>
        <v>-00:03</v>
      </c>
      <c r="O82" s="13" t="str">
        <f t="shared" si="11"/>
        <v>00:28</v>
      </c>
      <c r="P82" s="4">
        <f t="shared" si="12"/>
        <v>6.5972222222222265E-2</v>
      </c>
      <c r="Q82" s="4">
        <f t="shared" si="13"/>
        <v>8.7500000000000078E-2</v>
      </c>
      <c r="R82" s="5" t="str">
        <f t="shared" si="14"/>
        <v>00:31</v>
      </c>
      <c r="S82" s="3">
        <v>35.799999999999997</v>
      </c>
      <c r="T82" s="18" t="str">
        <f t="shared" si="15"/>
        <v>No</v>
      </c>
    </row>
    <row r="83" spans="1:20" ht="18" x14ac:dyDescent="0.25">
      <c r="A83" s="21">
        <v>0.53472222222222221</v>
      </c>
      <c r="B83" s="17" t="s">
        <v>474</v>
      </c>
      <c r="C83" s="17" t="s">
        <v>392</v>
      </c>
      <c r="D83" s="17" t="s">
        <v>184</v>
      </c>
      <c r="E83" s="17" t="s">
        <v>475</v>
      </c>
      <c r="F83" s="21">
        <v>0.53680555555555554</v>
      </c>
      <c r="H83" s="21">
        <v>0.60069444444444442</v>
      </c>
      <c r="I83" s="14" t="s">
        <v>476</v>
      </c>
      <c r="J83" s="17" t="s">
        <v>477</v>
      </c>
      <c r="K83" s="17" t="s">
        <v>184</v>
      </c>
      <c r="L83" s="17" t="s">
        <v>475</v>
      </c>
      <c r="M83" s="25">
        <v>0.61597222222222225</v>
      </c>
      <c r="N83" s="13" t="str">
        <f t="shared" si="10"/>
        <v>00:03</v>
      </c>
      <c r="O83" s="13" t="str">
        <f t="shared" si="11"/>
        <v>00:22</v>
      </c>
      <c r="P83" s="4">
        <f t="shared" si="12"/>
        <v>6.597222222222221E-2</v>
      </c>
      <c r="Q83" s="4">
        <f t="shared" si="13"/>
        <v>7.9166666666666718E-2</v>
      </c>
      <c r="R83" s="5" t="str">
        <f t="shared" si="14"/>
        <v>00:19</v>
      </c>
      <c r="S83" s="3">
        <v>35.799999999999997</v>
      </c>
      <c r="T83" s="18" t="str">
        <f t="shared" si="15"/>
        <v>No</v>
      </c>
    </row>
    <row r="84" spans="1:20" ht="18" x14ac:dyDescent="0.25">
      <c r="A84" s="21">
        <v>0.52083333333333337</v>
      </c>
      <c r="B84" s="17" t="s">
        <v>478</v>
      </c>
      <c r="C84" s="17" t="s">
        <v>218</v>
      </c>
      <c r="D84" s="17" t="s">
        <v>184</v>
      </c>
      <c r="E84" s="17" t="s">
        <v>479</v>
      </c>
      <c r="F84" s="21">
        <v>0.5131944444444444</v>
      </c>
      <c r="H84" s="21">
        <v>0.69097222222222221</v>
      </c>
      <c r="I84" s="17" t="s">
        <v>480</v>
      </c>
      <c r="J84" s="17" t="s">
        <v>260</v>
      </c>
      <c r="K84" s="17" t="s">
        <v>184</v>
      </c>
      <c r="L84" s="17" t="s">
        <v>479</v>
      </c>
      <c r="M84" s="25">
        <v>0.69097222222222221</v>
      </c>
      <c r="N84" s="13" t="str">
        <f t="shared" si="10"/>
        <v>-00:11</v>
      </c>
      <c r="O84" s="13" t="str">
        <f t="shared" si="11"/>
        <v>00:00</v>
      </c>
      <c r="P84" s="4">
        <f t="shared" si="12"/>
        <v>0.17013888888888884</v>
      </c>
      <c r="Q84" s="4">
        <f t="shared" si="13"/>
        <v>0.17777777777777781</v>
      </c>
      <c r="R84" s="5" t="str">
        <f t="shared" si="14"/>
        <v>00:11</v>
      </c>
      <c r="S84" s="3">
        <v>35.799999999999997</v>
      </c>
      <c r="T84" s="18" t="str">
        <f t="shared" si="15"/>
        <v>No</v>
      </c>
    </row>
    <row r="85" spans="1:20" ht="18" x14ac:dyDescent="0.25">
      <c r="A85" s="21">
        <v>0.34722222222222227</v>
      </c>
      <c r="B85" s="14" t="s">
        <v>481</v>
      </c>
      <c r="C85" s="17" t="s">
        <v>463</v>
      </c>
      <c r="D85" s="17" t="s">
        <v>184</v>
      </c>
      <c r="E85" s="17" t="s">
        <v>482</v>
      </c>
      <c r="F85" s="21">
        <v>0.3354166666666667</v>
      </c>
      <c r="H85" s="21">
        <v>0.39930555555555558</v>
      </c>
      <c r="I85" s="17" t="s">
        <v>483</v>
      </c>
      <c r="J85" s="17" t="s">
        <v>484</v>
      </c>
      <c r="K85" s="17" t="s">
        <v>184</v>
      </c>
      <c r="L85" s="17" t="s">
        <v>482</v>
      </c>
      <c r="M85" s="25">
        <v>0.41111111111111115</v>
      </c>
      <c r="N85" s="13" t="str">
        <f t="shared" si="10"/>
        <v>-00:17</v>
      </c>
      <c r="O85" s="13" t="str">
        <f t="shared" si="11"/>
        <v>00:17</v>
      </c>
      <c r="P85" s="4">
        <f t="shared" si="12"/>
        <v>5.2083333333333315E-2</v>
      </c>
      <c r="Q85" s="4">
        <f t="shared" si="13"/>
        <v>7.5694444444444453E-2</v>
      </c>
      <c r="R85" s="5" t="str">
        <f t="shared" si="14"/>
        <v>00:34</v>
      </c>
      <c r="S85" s="3">
        <v>35.799999999999997</v>
      </c>
      <c r="T85" s="18" t="str">
        <f t="shared" si="15"/>
        <v>No</v>
      </c>
    </row>
    <row r="86" spans="1:20" ht="18" x14ac:dyDescent="0.25">
      <c r="A86" s="21">
        <v>0.3576388888888889</v>
      </c>
      <c r="B86" s="14" t="s">
        <v>487</v>
      </c>
      <c r="C86" s="17" t="s">
        <v>169</v>
      </c>
      <c r="D86" s="17" t="s">
        <v>184</v>
      </c>
      <c r="E86" s="17" t="s">
        <v>486</v>
      </c>
      <c r="F86" s="21">
        <v>0.35347222222222219</v>
      </c>
      <c r="G86" s="32"/>
      <c r="H86" s="21">
        <v>0.3923611111111111</v>
      </c>
      <c r="I86" s="17" t="s">
        <v>485</v>
      </c>
      <c r="J86" s="17" t="s">
        <v>169</v>
      </c>
      <c r="K86" s="17" t="s">
        <v>184</v>
      </c>
      <c r="L86" s="17" t="s">
        <v>486</v>
      </c>
      <c r="M86" s="25">
        <v>0.39861111111111108</v>
      </c>
      <c r="N86" s="13" t="str">
        <f t="shared" si="10"/>
        <v>-00:06</v>
      </c>
      <c r="O86" s="13" t="str">
        <f t="shared" si="11"/>
        <v>00:09</v>
      </c>
      <c r="P86" s="4">
        <f t="shared" si="12"/>
        <v>3.472222222222221E-2</v>
      </c>
      <c r="Q86" s="4">
        <f t="shared" si="13"/>
        <v>4.5138888888888895E-2</v>
      </c>
      <c r="R86" s="5" t="str">
        <f t="shared" si="14"/>
        <v>00:15</v>
      </c>
      <c r="S86" s="3">
        <v>36.799999999999997</v>
      </c>
      <c r="T86" s="18" t="str">
        <f t="shared" ref="T86" si="16">IF(C86=J86, "Yes", "No")</f>
        <v>Yes</v>
      </c>
    </row>
    <row r="87" spans="1:20" ht="18" x14ac:dyDescent="0.25">
      <c r="A87" s="21">
        <v>0.62152777777777779</v>
      </c>
      <c r="B87" s="17" t="s">
        <v>489</v>
      </c>
      <c r="C87" s="17" t="s">
        <v>169</v>
      </c>
      <c r="D87" s="17" t="s">
        <v>184</v>
      </c>
      <c r="E87" s="17" t="s">
        <v>486</v>
      </c>
      <c r="F87" s="21">
        <v>0.62847222222222221</v>
      </c>
      <c r="G87" s="32"/>
      <c r="H87" s="21">
        <v>0.65972222222222221</v>
      </c>
      <c r="I87" s="17" t="s">
        <v>488</v>
      </c>
      <c r="J87" s="17" t="s">
        <v>179</v>
      </c>
      <c r="K87" s="17" t="s">
        <v>184</v>
      </c>
      <c r="L87" s="17" t="s">
        <v>486</v>
      </c>
      <c r="M87" s="25">
        <v>0.66736111111111107</v>
      </c>
      <c r="N87" s="13" t="str">
        <f t="shared" si="10"/>
        <v>00:10</v>
      </c>
      <c r="O87" s="13" t="str">
        <f t="shared" si="11"/>
        <v>00:11</v>
      </c>
      <c r="P87" s="4">
        <f t="shared" si="12"/>
        <v>3.819444444444442E-2</v>
      </c>
      <c r="Q87" s="4">
        <f t="shared" si="13"/>
        <v>3.8888888888888862E-2</v>
      </c>
      <c r="R87" s="5" t="str">
        <f t="shared" si="14"/>
        <v>00:01</v>
      </c>
      <c r="S87" s="3">
        <v>35.799999999999997</v>
      </c>
      <c r="T87" s="18" t="str">
        <f>IF(C86=J87, "Yes", "No")</f>
        <v>No</v>
      </c>
    </row>
    <row r="88" spans="1:20" ht="18" x14ac:dyDescent="0.25">
      <c r="A88" s="21">
        <v>0.3611111111111111</v>
      </c>
      <c r="B88" s="14" t="s">
        <v>490</v>
      </c>
      <c r="C88" s="17" t="s">
        <v>296</v>
      </c>
      <c r="D88" s="17" t="s">
        <v>346</v>
      </c>
      <c r="E88" s="17" t="s">
        <v>491</v>
      </c>
      <c r="F88" s="21">
        <v>0.34791666666666665</v>
      </c>
      <c r="G88" s="32"/>
      <c r="H88" s="21">
        <v>0.4375</v>
      </c>
      <c r="I88" s="17" t="s">
        <v>492</v>
      </c>
      <c r="J88" s="17" t="s">
        <v>477</v>
      </c>
      <c r="K88" s="17" t="s">
        <v>346</v>
      </c>
      <c r="L88" s="17" t="s">
        <v>491</v>
      </c>
      <c r="M88" s="25">
        <v>0.4458333333333333</v>
      </c>
      <c r="N88" s="13" t="str">
        <f t="shared" si="10"/>
        <v>-00:19</v>
      </c>
      <c r="O88" s="13" t="str">
        <f t="shared" si="11"/>
        <v>00:12</v>
      </c>
      <c r="P88" s="4">
        <f t="shared" si="12"/>
        <v>7.6388888888888895E-2</v>
      </c>
      <c r="Q88" s="4">
        <f t="shared" si="13"/>
        <v>9.7916666666666652E-2</v>
      </c>
      <c r="R88" s="5" t="str">
        <f t="shared" si="14"/>
        <v>00:31</v>
      </c>
      <c r="S88" s="3">
        <v>35.799999999999997</v>
      </c>
      <c r="T88" s="18" t="str">
        <f t="shared" ref="T88:T119" si="17">IF(C88=J88, "Yes", "No")</f>
        <v>No</v>
      </c>
    </row>
    <row r="89" spans="1:20" ht="18" x14ac:dyDescent="0.25">
      <c r="A89" s="21">
        <v>0.67708333333333337</v>
      </c>
      <c r="B89" s="14" t="s">
        <v>493</v>
      </c>
      <c r="C89" s="17" t="s">
        <v>477</v>
      </c>
      <c r="D89" s="17" t="s">
        <v>346</v>
      </c>
      <c r="E89" s="17" t="s">
        <v>491</v>
      </c>
      <c r="F89" s="21">
        <v>0.68333333333333324</v>
      </c>
      <c r="H89" s="21">
        <v>0.75347222222222221</v>
      </c>
      <c r="I89" s="14" t="s">
        <v>494</v>
      </c>
      <c r="J89" s="17" t="s">
        <v>218</v>
      </c>
      <c r="K89" s="17" t="s">
        <v>346</v>
      </c>
      <c r="L89" s="17" t="s">
        <v>491</v>
      </c>
      <c r="M89" s="25">
        <v>0.76111111111111107</v>
      </c>
      <c r="N89" s="13" t="str">
        <f t="shared" si="10"/>
        <v>00:09</v>
      </c>
      <c r="O89" s="13" t="str">
        <f t="shared" si="11"/>
        <v>00:11</v>
      </c>
      <c r="P89" s="4">
        <f t="shared" si="12"/>
        <v>7.638888888888884E-2</v>
      </c>
      <c r="Q89" s="4">
        <f t="shared" si="13"/>
        <v>7.7777777777777835E-2</v>
      </c>
      <c r="R89" s="5" t="str">
        <f t="shared" si="14"/>
        <v>00:02</v>
      </c>
      <c r="S89" s="3">
        <v>35.799999999999997</v>
      </c>
      <c r="T89" s="18" t="str">
        <f t="shared" si="17"/>
        <v>No</v>
      </c>
    </row>
    <row r="90" spans="1:20" ht="18" x14ac:dyDescent="0.25">
      <c r="A90" s="21">
        <v>0.39583333333333331</v>
      </c>
      <c r="B90" s="14" t="s">
        <v>495</v>
      </c>
      <c r="C90" s="17" t="s">
        <v>468</v>
      </c>
      <c r="D90" s="17" t="s">
        <v>346</v>
      </c>
      <c r="E90" s="17" t="s">
        <v>496</v>
      </c>
      <c r="F90" s="21">
        <v>0.38680555555555557</v>
      </c>
      <c r="H90" s="21">
        <v>0.4513888888888889</v>
      </c>
      <c r="I90" s="17" t="s">
        <v>497</v>
      </c>
      <c r="J90" s="17" t="s">
        <v>204</v>
      </c>
      <c r="K90" s="17" t="s">
        <v>346</v>
      </c>
      <c r="L90" s="17" t="s">
        <v>496</v>
      </c>
      <c r="M90" s="25">
        <v>0.48333333333333334</v>
      </c>
      <c r="N90" s="13" t="str">
        <f t="shared" si="10"/>
        <v>-00:13</v>
      </c>
      <c r="O90" s="13" t="str">
        <f t="shared" si="11"/>
        <v>00:46</v>
      </c>
      <c r="P90" s="4">
        <f t="shared" si="12"/>
        <v>5.555555555555558E-2</v>
      </c>
      <c r="Q90" s="4">
        <f t="shared" si="13"/>
        <v>9.6527777777777768E-2</v>
      </c>
      <c r="R90" s="5" t="str">
        <f t="shared" si="14"/>
        <v>00:59</v>
      </c>
      <c r="S90" s="3">
        <v>35.799999999999997</v>
      </c>
      <c r="T90" s="18" t="str">
        <f t="shared" si="17"/>
        <v>No</v>
      </c>
    </row>
    <row r="91" spans="1:20" ht="18" x14ac:dyDescent="0.25">
      <c r="A91" s="21">
        <v>0.35069444444444442</v>
      </c>
      <c r="B91" s="14" t="s">
        <v>498</v>
      </c>
      <c r="C91" s="17" t="s">
        <v>179</v>
      </c>
      <c r="D91" s="17" t="s">
        <v>184</v>
      </c>
      <c r="E91" s="17" t="s">
        <v>499</v>
      </c>
      <c r="F91" s="21">
        <v>0.3430555555555555</v>
      </c>
      <c r="H91" s="21">
        <v>0.3923611111111111</v>
      </c>
      <c r="I91" s="17" t="s">
        <v>500</v>
      </c>
      <c r="J91" s="17" t="s">
        <v>463</v>
      </c>
      <c r="K91" s="17" t="s">
        <v>184</v>
      </c>
      <c r="L91" s="17" t="s">
        <v>499</v>
      </c>
      <c r="M91" s="25">
        <v>0.41250000000000003</v>
      </c>
      <c r="N91" s="13" t="str">
        <f t="shared" si="10"/>
        <v>-00:11</v>
      </c>
      <c r="O91" s="13" t="str">
        <f t="shared" si="11"/>
        <v>00:29</v>
      </c>
      <c r="P91" s="4">
        <f t="shared" si="12"/>
        <v>4.1666666666666685E-2</v>
      </c>
      <c r="Q91" s="4">
        <f t="shared" si="13"/>
        <v>6.9444444444444531E-2</v>
      </c>
      <c r="R91" s="5" t="str">
        <f t="shared" si="14"/>
        <v>00:40</v>
      </c>
      <c r="S91" s="3">
        <v>35.799999999999997</v>
      </c>
      <c r="T91" s="18" t="str">
        <f t="shared" si="17"/>
        <v>No</v>
      </c>
    </row>
    <row r="92" spans="1:20" ht="18" x14ac:dyDescent="0.25">
      <c r="A92" s="21">
        <v>0.54513888888888895</v>
      </c>
      <c r="B92" s="14" t="s">
        <v>501</v>
      </c>
      <c r="C92" s="17" t="s">
        <v>463</v>
      </c>
      <c r="D92" s="17" t="s">
        <v>184</v>
      </c>
      <c r="E92" s="17" t="s">
        <v>499</v>
      </c>
      <c r="F92" s="21">
        <v>0.54513888888888895</v>
      </c>
      <c r="H92" s="21">
        <v>0.62152777777777779</v>
      </c>
      <c r="I92" s="14" t="s">
        <v>502</v>
      </c>
      <c r="J92" s="17" t="s">
        <v>218</v>
      </c>
      <c r="K92" s="17" t="s">
        <v>184</v>
      </c>
      <c r="L92" s="17" t="s">
        <v>499</v>
      </c>
      <c r="M92" s="25">
        <v>0.63194444444444442</v>
      </c>
      <c r="N92" s="13" t="str">
        <f t="shared" si="10"/>
        <v>00:00</v>
      </c>
      <c r="O92" s="13" t="str">
        <f t="shared" si="11"/>
        <v>00:15</v>
      </c>
      <c r="P92" s="4">
        <f t="shared" si="12"/>
        <v>7.638888888888884E-2</v>
      </c>
      <c r="Q92" s="4">
        <f t="shared" si="13"/>
        <v>8.6805555555555469E-2</v>
      </c>
      <c r="R92" s="5" t="str">
        <f t="shared" si="14"/>
        <v>00:15</v>
      </c>
      <c r="S92" s="3">
        <v>35.799999999999997</v>
      </c>
      <c r="T92" s="18" t="str">
        <f t="shared" si="17"/>
        <v>No</v>
      </c>
    </row>
    <row r="93" spans="1:20" ht="18" x14ac:dyDescent="0.25">
      <c r="A93" s="21">
        <v>0.41319444444444442</v>
      </c>
      <c r="B93" s="17" t="s">
        <v>503</v>
      </c>
      <c r="C93" s="17" t="s">
        <v>285</v>
      </c>
      <c r="D93" s="17" t="s">
        <v>184</v>
      </c>
      <c r="E93" s="17" t="s">
        <v>504</v>
      </c>
      <c r="F93" s="21">
        <v>0.40625</v>
      </c>
      <c r="H93" s="21">
        <v>0.57638888888888895</v>
      </c>
      <c r="I93" s="17" t="s">
        <v>505</v>
      </c>
      <c r="J93" s="17" t="s">
        <v>506</v>
      </c>
      <c r="K93" s="17" t="s">
        <v>184</v>
      </c>
      <c r="L93" s="17" t="s">
        <v>504</v>
      </c>
      <c r="M93" s="25">
        <v>0.58819444444444446</v>
      </c>
      <c r="N93" s="13" t="str">
        <f t="shared" si="10"/>
        <v>-00:10</v>
      </c>
      <c r="O93" s="13" t="str">
        <f t="shared" si="11"/>
        <v>00:17</v>
      </c>
      <c r="P93" s="4">
        <f t="shared" si="12"/>
        <v>0.16319444444444453</v>
      </c>
      <c r="Q93" s="4">
        <f t="shared" si="13"/>
        <v>0.18194444444444446</v>
      </c>
      <c r="R93" s="5" t="str">
        <f t="shared" si="14"/>
        <v>00:27</v>
      </c>
      <c r="S93" s="3">
        <v>35.799999999999997</v>
      </c>
      <c r="T93" s="18" t="str">
        <f t="shared" si="17"/>
        <v>No</v>
      </c>
    </row>
    <row r="94" spans="1:20" ht="18" x14ac:dyDescent="0.25">
      <c r="A94" s="21">
        <v>0.3576388888888889</v>
      </c>
      <c r="B94" s="14" t="s">
        <v>507</v>
      </c>
      <c r="C94" s="17" t="s">
        <v>319</v>
      </c>
      <c r="D94" s="17" t="s">
        <v>508</v>
      </c>
      <c r="E94" s="17" t="s">
        <v>509</v>
      </c>
      <c r="F94" s="21">
        <v>0.35416666666666669</v>
      </c>
      <c r="H94" s="21">
        <v>0.38541666666666669</v>
      </c>
      <c r="I94" s="17" t="s">
        <v>510</v>
      </c>
      <c r="J94" s="17" t="s">
        <v>237</v>
      </c>
      <c r="K94" s="17" t="s">
        <v>508</v>
      </c>
      <c r="L94" s="17" t="s">
        <v>509</v>
      </c>
      <c r="M94" s="25">
        <v>0.41180555555555554</v>
      </c>
      <c r="N94" s="13" t="str">
        <f t="shared" si="10"/>
        <v>-00:05</v>
      </c>
      <c r="O94" s="13" t="str">
        <f t="shared" si="11"/>
        <v>00:38</v>
      </c>
      <c r="P94" s="4">
        <f t="shared" si="12"/>
        <v>2.777777777777779E-2</v>
      </c>
      <c r="Q94" s="4">
        <f t="shared" si="13"/>
        <v>5.7638888888888851E-2</v>
      </c>
      <c r="R94" s="5" t="str">
        <f t="shared" si="14"/>
        <v>00:43</v>
      </c>
      <c r="S94" s="3">
        <v>35.799999999999997</v>
      </c>
      <c r="T94" s="18" t="str">
        <f t="shared" si="17"/>
        <v>No</v>
      </c>
    </row>
    <row r="95" spans="1:20" ht="18" x14ac:dyDescent="0.25">
      <c r="A95" s="21">
        <v>0.65625</v>
      </c>
      <c r="B95" s="14" t="s">
        <v>511</v>
      </c>
      <c r="C95" s="17" t="s">
        <v>237</v>
      </c>
      <c r="D95" s="17" t="s">
        <v>508</v>
      </c>
      <c r="E95" s="17" t="s">
        <v>509</v>
      </c>
      <c r="F95" s="21">
        <v>0.65902777777777777</v>
      </c>
      <c r="H95" s="21">
        <v>0.70833333333333337</v>
      </c>
      <c r="I95" s="14" t="s">
        <v>512</v>
      </c>
      <c r="J95" s="17" t="s">
        <v>237</v>
      </c>
      <c r="K95" s="17" t="s">
        <v>508</v>
      </c>
      <c r="L95" s="17" t="s">
        <v>509</v>
      </c>
      <c r="M95" s="25">
        <v>0.70833333333333337</v>
      </c>
      <c r="N95" s="13" t="str">
        <f t="shared" si="10"/>
        <v>00:04</v>
      </c>
      <c r="O95" s="13" t="str">
        <f t="shared" si="11"/>
        <v>00:00</v>
      </c>
      <c r="P95" s="4">
        <f t="shared" si="12"/>
        <v>5.208333333333337E-2</v>
      </c>
      <c r="Q95" s="4">
        <f t="shared" si="13"/>
        <v>4.9305555555555602E-2</v>
      </c>
      <c r="R95" s="5" t="str">
        <f t="shared" si="14"/>
        <v>-00:04</v>
      </c>
      <c r="S95" s="3">
        <v>35.799999999999997</v>
      </c>
      <c r="T95" s="18" t="str">
        <f t="shared" si="17"/>
        <v>Yes</v>
      </c>
    </row>
    <row r="96" spans="1:20" ht="18" x14ac:dyDescent="0.25">
      <c r="A96" s="21">
        <v>4.3055555555555562E-2</v>
      </c>
      <c r="B96" s="17" t="s">
        <v>513</v>
      </c>
      <c r="C96" s="17" t="s">
        <v>514</v>
      </c>
      <c r="D96" s="17" t="s">
        <v>515</v>
      </c>
      <c r="E96" s="17" t="s">
        <v>516</v>
      </c>
      <c r="F96" s="21">
        <v>5.7638888888888885E-2</v>
      </c>
      <c r="H96" s="21">
        <v>0.25694444444444448</v>
      </c>
      <c r="I96" s="17" t="s">
        <v>517</v>
      </c>
      <c r="J96" s="17" t="s">
        <v>518</v>
      </c>
      <c r="K96" s="17" t="s">
        <v>515</v>
      </c>
      <c r="L96" s="17" t="s">
        <v>516</v>
      </c>
      <c r="M96" s="25">
        <v>0.26805555555555555</v>
      </c>
      <c r="N96" s="13" t="str">
        <f t="shared" si="10"/>
        <v>00:21</v>
      </c>
      <c r="O96" s="13" t="str">
        <f t="shared" si="11"/>
        <v>00:16</v>
      </c>
      <c r="P96" s="4">
        <f t="shared" si="12"/>
        <v>0.21388888888888891</v>
      </c>
      <c r="Q96" s="4">
        <f t="shared" si="13"/>
        <v>0.21041666666666667</v>
      </c>
      <c r="R96" s="5" t="str">
        <f t="shared" si="14"/>
        <v>-00:05</v>
      </c>
      <c r="S96" s="3">
        <v>35.799999999999997</v>
      </c>
      <c r="T96" s="18" t="str">
        <f t="shared" si="17"/>
        <v>No</v>
      </c>
    </row>
    <row r="97" spans="1:20" ht="18" x14ac:dyDescent="0.25">
      <c r="A97" s="21">
        <v>0.61249999999999993</v>
      </c>
      <c r="B97" s="17" t="s">
        <v>519</v>
      </c>
      <c r="C97" s="17" t="s">
        <v>518</v>
      </c>
      <c r="D97" s="17" t="s">
        <v>515</v>
      </c>
      <c r="E97" s="17" t="s">
        <v>516</v>
      </c>
      <c r="F97" s="21">
        <v>0.62152777777777779</v>
      </c>
      <c r="H97" s="21">
        <v>0.66319444444444442</v>
      </c>
      <c r="I97" s="17" t="s">
        <v>520</v>
      </c>
      <c r="J97" s="17" t="s">
        <v>521</v>
      </c>
      <c r="K97" s="17" t="s">
        <v>515</v>
      </c>
      <c r="L97" s="17" t="s">
        <v>516</v>
      </c>
      <c r="M97" s="25">
        <v>0.67083333333333339</v>
      </c>
      <c r="N97" s="13" t="str">
        <f t="shared" si="10"/>
        <v>00:13</v>
      </c>
      <c r="O97" s="13" t="str">
        <f t="shared" si="11"/>
        <v>00:11</v>
      </c>
      <c r="P97" s="4">
        <f t="shared" si="12"/>
        <v>5.0694444444444486E-2</v>
      </c>
      <c r="Q97" s="4">
        <f t="shared" si="13"/>
        <v>4.9305555555555602E-2</v>
      </c>
      <c r="R97" s="5" t="str">
        <f t="shared" si="14"/>
        <v>-00:02</v>
      </c>
      <c r="S97" s="3">
        <v>35.799999999999997</v>
      </c>
      <c r="T97" s="18" t="str">
        <f t="shared" si="17"/>
        <v>No</v>
      </c>
    </row>
    <row r="98" spans="1:20" ht="18" x14ac:dyDescent="0.25">
      <c r="A98" s="21">
        <v>0.47569444444444442</v>
      </c>
      <c r="B98" s="17" t="s">
        <v>522</v>
      </c>
      <c r="C98" s="17" t="s">
        <v>523</v>
      </c>
      <c r="D98" s="17" t="s">
        <v>524</v>
      </c>
      <c r="E98" s="17" t="s">
        <v>525</v>
      </c>
      <c r="F98" s="21">
        <v>0.48472222222222222</v>
      </c>
      <c r="H98" s="21">
        <v>0.51736111111111105</v>
      </c>
      <c r="I98" s="17" t="s">
        <v>526</v>
      </c>
      <c r="J98" s="17" t="s">
        <v>523</v>
      </c>
      <c r="K98" s="17" t="s">
        <v>524</v>
      </c>
      <c r="L98" s="17" t="s">
        <v>525</v>
      </c>
      <c r="M98" s="25">
        <v>0.53263888888888888</v>
      </c>
      <c r="N98" s="13" t="str">
        <f t="shared" si="10"/>
        <v>00:13</v>
      </c>
      <c r="O98" s="13" t="str">
        <f t="shared" si="11"/>
        <v>00:22</v>
      </c>
      <c r="P98" s="4">
        <f t="shared" si="12"/>
        <v>4.166666666666663E-2</v>
      </c>
      <c r="Q98" s="4">
        <f t="shared" si="13"/>
        <v>4.7916666666666663E-2</v>
      </c>
      <c r="R98" s="5" t="str">
        <f t="shared" si="14"/>
        <v>00:09</v>
      </c>
      <c r="S98" s="3">
        <v>35.799999999999997</v>
      </c>
      <c r="T98" s="18" t="str">
        <f t="shared" si="17"/>
        <v>Yes</v>
      </c>
    </row>
    <row r="99" spans="1:20" ht="18" x14ac:dyDescent="0.25">
      <c r="A99" s="21">
        <v>0.70833333333333337</v>
      </c>
      <c r="B99" s="17" t="s">
        <v>527</v>
      </c>
      <c r="C99" s="17" t="s">
        <v>523</v>
      </c>
      <c r="D99" s="17" t="s">
        <v>528</v>
      </c>
      <c r="E99" s="17" t="s">
        <v>529</v>
      </c>
      <c r="F99" s="21">
        <v>0.72430555555555554</v>
      </c>
      <c r="H99" s="21">
        <v>0.75</v>
      </c>
      <c r="I99" s="17" t="s">
        <v>530</v>
      </c>
      <c r="J99" s="17" t="s">
        <v>523</v>
      </c>
      <c r="K99" s="17" t="s">
        <v>528</v>
      </c>
      <c r="L99" s="17" t="s">
        <v>529</v>
      </c>
      <c r="M99" s="25">
        <v>0.77083333333333337</v>
      </c>
      <c r="N99" s="13" t="str">
        <f t="shared" si="10"/>
        <v>00:23</v>
      </c>
      <c r="O99" s="13" t="str">
        <f t="shared" si="11"/>
        <v>00:30</v>
      </c>
      <c r="P99" s="4">
        <f t="shared" si="12"/>
        <v>4.166666666666663E-2</v>
      </c>
      <c r="Q99" s="4">
        <f t="shared" si="13"/>
        <v>4.6527777777777835E-2</v>
      </c>
      <c r="R99" s="5" t="str">
        <f t="shared" si="14"/>
        <v>00:07</v>
      </c>
      <c r="S99" s="3">
        <v>35.799999999999997</v>
      </c>
      <c r="T99" s="18" t="str">
        <f t="shared" si="17"/>
        <v>Yes</v>
      </c>
    </row>
    <row r="100" spans="1:20" ht="18" x14ac:dyDescent="0.25">
      <c r="A100" s="21">
        <v>0.49652777777777773</v>
      </c>
      <c r="B100" s="17" t="s">
        <v>531</v>
      </c>
      <c r="C100" s="17" t="s">
        <v>532</v>
      </c>
      <c r="D100" s="17" t="s">
        <v>533</v>
      </c>
      <c r="E100" s="17" t="s">
        <v>534</v>
      </c>
      <c r="F100" s="21">
        <v>0.47569444444444442</v>
      </c>
      <c r="H100" s="21">
        <v>0.53125</v>
      </c>
      <c r="I100" s="17" t="s">
        <v>535</v>
      </c>
      <c r="J100" s="17" t="s">
        <v>532</v>
      </c>
      <c r="K100" s="17" t="s">
        <v>533</v>
      </c>
      <c r="L100" s="17" t="s">
        <v>534</v>
      </c>
      <c r="M100" s="25">
        <v>0.57291666666666663</v>
      </c>
      <c r="N100" s="13" t="str">
        <f t="shared" si="10"/>
        <v>-00:30</v>
      </c>
      <c r="O100" s="13" t="str">
        <f t="shared" si="11"/>
        <v>01:00</v>
      </c>
      <c r="P100" s="4">
        <f t="shared" si="12"/>
        <v>3.4722222222222265E-2</v>
      </c>
      <c r="Q100" s="4">
        <f t="shared" si="13"/>
        <v>9.722222222222221E-2</v>
      </c>
      <c r="R100" s="5" t="str">
        <f t="shared" si="14"/>
        <v>01:30</v>
      </c>
      <c r="S100" s="3">
        <v>35.799999999999997</v>
      </c>
      <c r="T100" s="18" t="str">
        <f t="shared" si="17"/>
        <v>Yes</v>
      </c>
    </row>
    <row r="101" spans="1:20" ht="18" x14ac:dyDescent="0.25">
      <c r="A101" s="21">
        <v>0.38541666666666669</v>
      </c>
      <c r="B101" s="14" t="s">
        <v>536</v>
      </c>
      <c r="C101" s="17" t="s">
        <v>537</v>
      </c>
      <c r="D101" s="17" t="s">
        <v>538</v>
      </c>
      <c r="E101" s="17" t="s">
        <v>539</v>
      </c>
      <c r="F101" s="21">
        <v>0.35486111111111113</v>
      </c>
      <c r="H101" s="21">
        <v>0.42708333333333331</v>
      </c>
      <c r="I101" s="17" t="s">
        <v>540</v>
      </c>
      <c r="J101" s="17" t="s">
        <v>537</v>
      </c>
      <c r="K101" s="17" t="s">
        <v>538</v>
      </c>
      <c r="L101" s="17" t="s">
        <v>539</v>
      </c>
      <c r="M101" s="25">
        <v>0.43888888888888888</v>
      </c>
      <c r="N101" s="13" t="str">
        <f t="shared" si="10"/>
        <v>-00:44</v>
      </c>
      <c r="O101" s="13" t="str">
        <f t="shared" si="11"/>
        <v>00:17</v>
      </c>
      <c r="P101" s="4">
        <f t="shared" si="12"/>
        <v>4.166666666666663E-2</v>
      </c>
      <c r="Q101" s="4">
        <f t="shared" si="13"/>
        <v>8.4027777777777757E-2</v>
      </c>
      <c r="R101" s="5" t="str">
        <f t="shared" si="14"/>
        <v>01:01</v>
      </c>
      <c r="S101" s="3">
        <v>35.799999999999997</v>
      </c>
      <c r="T101" s="18" t="str">
        <f t="shared" si="17"/>
        <v>Yes</v>
      </c>
    </row>
    <row r="102" spans="1:20" ht="18" x14ac:dyDescent="0.25">
      <c r="A102" s="21">
        <v>0.51388888888888895</v>
      </c>
      <c r="B102" s="14" t="s">
        <v>541</v>
      </c>
      <c r="C102" s="17" t="s">
        <v>542</v>
      </c>
      <c r="D102" s="17" t="s">
        <v>543</v>
      </c>
      <c r="E102" s="17" t="s">
        <v>544</v>
      </c>
      <c r="F102" s="21">
        <v>0.5</v>
      </c>
      <c r="H102" s="21">
        <v>0.55555555555555558</v>
      </c>
      <c r="I102" s="14" t="s">
        <v>545</v>
      </c>
      <c r="J102" s="17" t="s">
        <v>542</v>
      </c>
      <c r="K102" s="17" t="s">
        <v>543</v>
      </c>
      <c r="L102" s="17" t="s">
        <v>544</v>
      </c>
      <c r="M102" s="25">
        <v>0.55902777777777779</v>
      </c>
      <c r="N102" s="13" t="str">
        <f t="shared" si="10"/>
        <v>-00:20</v>
      </c>
      <c r="O102" s="13" t="str">
        <f t="shared" si="11"/>
        <v>00:05</v>
      </c>
      <c r="P102" s="4">
        <f t="shared" si="12"/>
        <v>4.166666666666663E-2</v>
      </c>
      <c r="Q102" s="4">
        <f t="shared" si="13"/>
        <v>5.902777777777779E-2</v>
      </c>
      <c r="R102" s="5" t="str">
        <f t="shared" si="14"/>
        <v>00:25</v>
      </c>
      <c r="S102" s="3">
        <v>35.799999999999997</v>
      </c>
      <c r="T102" s="18" t="str">
        <f t="shared" si="17"/>
        <v>Yes</v>
      </c>
    </row>
    <row r="103" spans="1:20" ht="18" x14ac:dyDescent="0.25">
      <c r="A103" s="21">
        <v>0.5625</v>
      </c>
      <c r="B103" s="14" t="s">
        <v>546</v>
      </c>
      <c r="C103" s="17" t="s">
        <v>227</v>
      </c>
      <c r="D103" s="17" t="s">
        <v>228</v>
      </c>
      <c r="E103" s="17" t="s">
        <v>547</v>
      </c>
      <c r="F103" s="21">
        <v>0.5395833333333333</v>
      </c>
      <c r="H103" s="21">
        <v>0.60069444444444442</v>
      </c>
      <c r="I103" s="14" t="s">
        <v>548</v>
      </c>
      <c r="J103" s="17" t="s">
        <v>227</v>
      </c>
      <c r="K103" s="17" t="s">
        <v>228</v>
      </c>
      <c r="L103" s="17" t="s">
        <v>547</v>
      </c>
      <c r="M103" s="25">
        <v>0.61319444444444449</v>
      </c>
      <c r="N103" s="13" t="str">
        <f t="shared" si="10"/>
        <v>-00:33</v>
      </c>
      <c r="O103" s="13" t="str">
        <f t="shared" si="11"/>
        <v>00:18</v>
      </c>
      <c r="P103" s="4">
        <f t="shared" si="12"/>
        <v>3.819444444444442E-2</v>
      </c>
      <c r="Q103" s="4">
        <f t="shared" si="13"/>
        <v>7.3611111111111183E-2</v>
      </c>
      <c r="R103" s="5" t="str">
        <f t="shared" si="14"/>
        <v>00:51</v>
      </c>
      <c r="S103" s="3">
        <v>35.799999999999997</v>
      </c>
      <c r="T103" s="18" t="str">
        <f t="shared" si="17"/>
        <v>Yes</v>
      </c>
    </row>
    <row r="104" spans="1:20" ht="18" x14ac:dyDescent="0.25">
      <c r="A104" s="21">
        <v>0.74652777777777779</v>
      </c>
      <c r="B104" s="14" t="s">
        <v>549</v>
      </c>
      <c r="C104" s="17" t="s">
        <v>227</v>
      </c>
      <c r="D104" s="17" t="s">
        <v>228</v>
      </c>
      <c r="E104" s="17" t="s">
        <v>550</v>
      </c>
      <c r="F104" s="21">
        <v>0.74652777777777779</v>
      </c>
      <c r="H104" s="21">
        <v>0.78472222222222221</v>
      </c>
      <c r="I104" s="14" t="s">
        <v>551</v>
      </c>
      <c r="J104" s="17" t="s">
        <v>227</v>
      </c>
      <c r="K104" s="17" t="s">
        <v>228</v>
      </c>
      <c r="L104" s="17" t="s">
        <v>550</v>
      </c>
      <c r="M104" s="25">
        <v>0.78472222222222221</v>
      </c>
      <c r="N104" s="13" t="str">
        <f t="shared" si="10"/>
        <v>00:00</v>
      </c>
      <c r="O104" s="13" t="str">
        <f t="shared" si="11"/>
        <v>00:00</v>
      </c>
      <c r="P104" s="4">
        <f t="shared" si="12"/>
        <v>3.819444444444442E-2</v>
      </c>
      <c r="Q104" s="4">
        <f t="shared" si="13"/>
        <v>3.819444444444442E-2</v>
      </c>
      <c r="R104" s="5" t="str">
        <f t="shared" si="14"/>
        <v>00:00</v>
      </c>
      <c r="S104" s="3">
        <v>35.799999999999997</v>
      </c>
      <c r="T104" s="18" t="str">
        <f t="shared" si="17"/>
        <v>Yes</v>
      </c>
    </row>
    <row r="105" spans="1:20" ht="18" x14ac:dyDescent="0.25">
      <c r="A105" s="21">
        <v>0.19583333333333333</v>
      </c>
      <c r="B105" s="17" t="s">
        <v>552</v>
      </c>
      <c r="C105" s="17" t="s">
        <v>232</v>
      </c>
      <c r="D105" s="17" t="s">
        <v>233</v>
      </c>
      <c r="E105" s="17" t="s">
        <v>553</v>
      </c>
      <c r="F105" s="21">
        <v>0.26180555555555557</v>
      </c>
      <c r="H105" s="21">
        <v>0.28125</v>
      </c>
      <c r="I105" s="17" t="s">
        <v>554</v>
      </c>
      <c r="J105" s="17" t="s">
        <v>555</v>
      </c>
      <c r="K105" s="17" t="s">
        <v>233</v>
      </c>
      <c r="L105" s="17" t="s">
        <v>553</v>
      </c>
      <c r="M105" s="25">
        <v>0.32847222222222222</v>
      </c>
      <c r="N105" s="13" t="str">
        <f t="shared" si="10"/>
        <v>01:35</v>
      </c>
      <c r="O105" s="13" t="str">
        <f t="shared" si="11"/>
        <v>01:08</v>
      </c>
      <c r="P105" s="4">
        <f t="shared" si="12"/>
        <v>8.5416666666666669E-2</v>
      </c>
      <c r="Q105" s="4">
        <f t="shared" si="13"/>
        <v>6.6666666666666652E-2</v>
      </c>
      <c r="R105" s="5" t="str">
        <f t="shared" si="14"/>
        <v>-00:27</v>
      </c>
      <c r="S105" s="3">
        <v>60.3</v>
      </c>
      <c r="T105" s="18" t="str">
        <f t="shared" si="17"/>
        <v>No</v>
      </c>
    </row>
    <row r="106" spans="1:20" ht="18" x14ac:dyDescent="0.25">
      <c r="A106" s="21">
        <v>0.2638888888888889</v>
      </c>
      <c r="B106" s="17" t="s">
        <v>556</v>
      </c>
      <c r="C106" s="17" t="s">
        <v>213</v>
      </c>
      <c r="D106" s="17" t="s">
        <v>557</v>
      </c>
      <c r="E106" s="17" t="s">
        <v>558</v>
      </c>
      <c r="F106" s="21">
        <v>0.25347222222222221</v>
      </c>
      <c r="H106" s="21">
        <v>0.41666666666666669</v>
      </c>
      <c r="I106" s="17" t="s">
        <v>559</v>
      </c>
      <c r="J106" s="17" t="s">
        <v>213</v>
      </c>
      <c r="K106" s="17" t="s">
        <v>557</v>
      </c>
      <c r="L106" s="17" t="s">
        <v>558</v>
      </c>
      <c r="M106" s="25">
        <v>0.42499999999999999</v>
      </c>
      <c r="N106" s="13" t="str">
        <f t="shared" si="10"/>
        <v>-00:15</v>
      </c>
      <c r="O106" s="13" t="str">
        <f t="shared" si="11"/>
        <v>00:12</v>
      </c>
      <c r="P106" s="4">
        <f t="shared" si="12"/>
        <v>0.15277777777777779</v>
      </c>
      <c r="Q106" s="4">
        <f t="shared" si="13"/>
        <v>0.17152777777777778</v>
      </c>
      <c r="R106" s="5" t="str">
        <f t="shared" si="14"/>
        <v>00:27</v>
      </c>
      <c r="S106" s="3">
        <v>60.3</v>
      </c>
      <c r="T106" s="18" t="str">
        <f t="shared" si="17"/>
        <v>Yes</v>
      </c>
    </row>
    <row r="107" spans="1:20" ht="18" x14ac:dyDescent="0.25">
      <c r="A107" s="21">
        <v>0.20833333333333334</v>
      </c>
      <c r="B107" s="17" t="s">
        <v>560</v>
      </c>
      <c r="C107" s="17" t="s">
        <v>561</v>
      </c>
      <c r="D107" s="17" t="s">
        <v>184</v>
      </c>
      <c r="E107" s="17" t="s">
        <v>562</v>
      </c>
      <c r="F107" s="21">
        <v>0.20347222222222219</v>
      </c>
      <c r="H107" s="21">
        <v>0.44097222222222227</v>
      </c>
      <c r="I107" s="17" t="s">
        <v>563</v>
      </c>
      <c r="J107" s="17" t="s">
        <v>564</v>
      </c>
      <c r="K107" s="17" t="s">
        <v>184</v>
      </c>
      <c r="L107" s="17" t="s">
        <v>562</v>
      </c>
      <c r="M107" s="25">
        <v>0.45208333333333334</v>
      </c>
      <c r="N107" s="13" t="str">
        <f t="shared" si="10"/>
        <v>-00:07</v>
      </c>
      <c r="O107" s="13" t="str">
        <f t="shared" si="11"/>
        <v>00:16</v>
      </c>
      <c r="P107" s="4">
        <f t="shared" si="12"/>
        <v>0.23263888888888892</v>
      </c>
      <c r="Q107" s="4">
        <f t="shared" si="13"/>
        <v>0.24861111111111114</v>
      </c>
      <c r="R107" s="5" t="str">
        <f t="shared" si="14"/>
        <v>00:23</v>
      </c>
      <c r="S107" s="3">
        <v>60.3</v>
      </c>
      <c r="T107" s="18" t="str">
        <f t="shared" si="17"/>
        <v>No</v>
      </c>
    </row>
    <row r="108" spans="1:20" ht="18" x14ac:dyDescent="0.25">
      <c r="A108" s="21">
        <v>0.28125</v>
      </c>
      <c r="B108" s="17" t="s">
        <v>565</v>
      </c>
      <c r="C108" s="17" t="s">
        <v>566</v>
      </c>
      <c r="D108" s="17" t="s">
        <v>184</v>
      </c>
      <c r="E108" s="17" t="s">
        <v>567</v>
      </c>
      <c r="F108" s="21">
        <v>0.28194444444444444</v>
      </c>
      <c r="H108" s="21">
        <v>0.50694444444444442</v>
      </c>
      <c r="I108" s="14" t="s">
        <v>568</v>
      </c>
      <c r="J108" s="17" t="s">
        <v>569</v>
      </c>
      <c r="K108" s="17" t="s">
        <v>184</v>
      </c>
      <c r="L108" s="17" t="s">
        <v>567</v>
      </c>
      <c r="M108" s="25">
        <v>0.52916666666666667</v>
      </c>
      <c r="N108" s="13" t="str">
        <f t="shared" si="10"/>
        <v>00:01</v>
      </c>
      <c r="O108" s="13" t="str">
        <f t="shared" si="11"/>
        <v>00:32</v>
      </c>
      <c r="P108" s="4">
        <f t="shared" si="12"/>
        <v>0.22569444444444442</v>
      </c>
      <c r="Q108" s="4">
        <f t="shared" si="13"/>
        <v>0.24722222222222223</v>
      </c>
      <c r="R108" s="5" t="str">
        <f t="shared" si="14"/>
        <v>00:31</v>
      </c>
      <c r="S108" s="3">
        <v>60.3</v>
      </c>
      <c r="T108" s="18" t="str">
        <f t="shared" si="17"/>
        <v>No</v>
      </c>
    </row>
    <row r="109" spans="1:20" ht="18" x14ac:dyDescent="0.25">
      <c r="A109" s="21">
        <v>0.31944444444444448</v>
      </c>
      <c r="B109" s="17" t="s">
        <v>570</v>
      </c>
      <c r="C109" s="17" t="s">
        <v>564</v>
      </c>
      <c r="D109" s="17" t="s">
        <v>184</v>
      </c>
      <c r="E109" s="17" t="s">
        <v>571</v>
      </c>
      <c r="F109" s="21">
        <v>0.30277777777777776</v>
      </c>
      <c r="H109" s="21">
        <v>0.47222222222222227</v>
      </c>
      <c r="I109" s="14" t="s">
        <v>572</v>
      </c>
      <c r="J109" s="17" t="s">
        <v>573</v>
      </c>
      <c r="K109" s="17" t="s">
        <v>184</v>
      </c>
      <c r="L109" s="17" t="s">
        <v>571</v>
      </c>
      <c r="M109" s="25">
        <v>0.4916666666666667</v>
      </c>
      <c r="N109" s="13" t="str">
        <f t="shared" si="10"/>
        <v>-00:24</v>
      </c>
      <c r="O109" s="13" t="str">
        <f t="shared" si="11"/>
        <v>00:28</v>
      </c>
      <c r="P109" s="4">
        <f t="shared" si="12"/>
        <v>0.15277777777777779</v>
      </c>
      <c r="Q109" s="4">
        <f t="shared" si="13"/>
        <v>0.18888888888888894</v>
      </c>
      <c r="R109" s="5" t="str">
        <f t="shared" si="14"/>
        <v>00:52</v>
      </c>
      <c r="S109" s="3">
        <v>60.3</v>
      </c>
      <c r="T109" s="18" t="str">
        <f t="shared" si="17"/>
        <v>No</v>
      </c>
    </row>
    <row r="110" spans="1:20" ht="18" x14ac:dyDescent="0.25">
      <c r="A110" s="21">
        <v>0.3263888888888889</v>
      </c>
      <c r="B110" s="17" t="s">
        <v>574</v>
      </c>
      <c r="C110" s="17" t="s">
        <v>575</v>
      </c>
      <c r="D110" s="17" t="s">
        <v>184</v>
      </c>
      <c r="E110" s="17" t="s">
        <v>576</v>
      </c>
      <c r="F110" s="21">
        <v>0.35902777777777778</v>
      </c>
      <c r="H110" s="21">
        <v>0.51041666666666663</v>
      </c>
      <c r="I110" s="14" t="s">
        <v>577</v>
      </c>
      <c r="J110" s="17" t="s">
        <v>578</v>
      </c>
      <c r="K110" s="17" t="s">
        <v>184</v>
      </c>
      <c r="L110" s="17" t="s">
        <v>576</v>
      </c>
      <c r="M110" s="25">
        <v>0.53541666666666665</v>
      </c>
      <c r="N110" s="13" t="str">
        <f t="shared" si="10"/>
        <v>00:47</v>
      </c>
      <c r="O110" s="13" t="str">
        <f t="shared" si="11"/>
        <v>00:36</v>
      </c>
      <c r="P110" s="4">
        <f t="shared" si="12"/>
        <v>0.18402777777777773</v>
      </c>
      <c r="Q110" s="4">
        <f t="shared" si="13"/>
        <v>0.17638888888888887</v>
      </c>
      <c r="R110" s="5" t="str">
        <f t="shared" si="14"/>
        <v>-00:11</v>
      </c>
      <c r="S110" s="3">
        <v>60.3</v>
      </c>
      <c r="T110" s="18" t="str">
        <f t="shared" si="17"/>
        <v>No</v>
      </c>
    </row>
    <row r="111" spans="1:20" ht="18" x14ac:dyDescent="0.25">
      <c r="A111" s="21">
        <v>0.28125</v>
      </c>
      <c r="B111" s="17" t="s">
        <v>579</v>
      </c>
      <c r="C111" s="17" t="s">
        <v>573</v>
      </c>
      <c r="D111" s="17" t="s">
        <v>184</v>
      </c>
      <c r="E111" s="17" t="s">
        <v>580</v>
      </c>
      <c r="F111" s="21">
        <v>0.26527777777777778</v>
      </c>
      <c r="H111" s="21">
        <v>0.43402777777777773</v>
      </c>
      <c r="I111" s="17" t="s">
        <v>581</v>
      </c>
      <c r="J111" s="17" t="s">
        <v>582</v>
      </c>
      <c r="K111" s="17" t="s">
        <v>184</v>
      </c>
      <c r="L111" s="17" t="s">
        <v>580</v>
      </c>
      <c r="M111" s="25">
        <v>0.45277777777777778</v>
      </c>
      <c r="N111" s="13" t="str">
        <f t="shared" si="10"/>
        <v>-00:23</v>
      </c>
      <c r="O111" s="13" t="str">
        <f t="shared" si="11"/>
        <v>00:27</v>
      </c>
      <c r="P111" s="4">
        <f t="shared" si="12"/>
        <v>0.15277777777777773</v>
      </c>
      <c r="Q111" s="4">
        <f t="shared" si="13"/>
        <v>0.1875</v>
      </c>
      <c r="R111" s="5" t="str">
        <f t="shared" si="14"/>
        <v>00:50</v>
      </c>
      <c r="S111" s="3">
        <v>60.3</v>
      </c>
      <c r="T111" s="18" t="str">
        <f t="shared" si="17"/>
        <v>No</v>
      </c>
    </row>
    <row r="112" spans="1:20" ht="18" x14ac:dyDescent="0.25">
      <c r="A112" s="21">
        <v>0.52430555555555558</v>
      </c>
      <c r="B112" s="17" t="s">
        <v>583</v>
      </c>
      <c r="C112" s="17" t="s">
        <v>584</v>
      </c>
      <c r="D112" s="17" t="s">
        <v>585</v>
      </c>
      <c r="E112" s="17" t="s">
        <v>586</v>
      </c>
      <c r="F112" s="21">
        <v>0.52777777777777779</v>
      </c>
      <c r="H112" s="21">
        <v>0.54166666666666663</v>
      </c>
      <c r="I112" s="17" t="s">
        <v>587</v>
      </c>
      <c r="J112" s="17" t="s">
        <v>584</v>
      </c>
      <c r="K112" s="17" t="s">
        <v>585</v>
      </c>
      <c r="L112" s="17" t="s">
        <v>586</v>
      </c>
      <c r="M112" s="25">
        <v>0.56527777777777777</v>
      </c>
      <c r="N112" s="13" t="str">
        <f t="shared" si="10"/>
        <v>00:05</v>
      </c>
      <c r="O112" s="13" t="str">
        <f t="shared" si="11"/>
        <v>00:34</v>
      </c>
      <c r="P112" s="4">
        <f t="shared" si="12"/>
        <v>1.7361111111111049E-2</v>
      </c>
      <c r="Q112" s="4">
        <f t="shared" si="13"/>
        <v>3.7499999999999978E-2</v>
      </c>
      <c r="R112" s="5" t="str">
        <f t="shared" si="14"/>
        <v>00:29</v>
      </c>
      <c r="S112" s="3">
        <v>35.9</v>
      </c>
      <c r="T112" s="18" t="str">
        <f t="shared" si="17"/>
        <v>Yes</v>
      </c>
    </row>
    <row r="113" spans="1:20" ht="18" x14ac:dyDescent="0.25">
      <c r="A113" s="21">
        <v>0.35069444444444442</v>
      </c>
      <c r="B113" s="17" t="s">
        <v>588</v>
      </c>
      <c r="C113" s="17" t="s">
        <v>169</v>
      </c>
      <c r="D113" s="17" t="s">
        <v>585</v>
      </c>
      <c r="E113" s="17" t="s">
        <v>589</v>
      </c>
      <c r="F113" s="21">
        <v>0.34652777777777777</v>
      </c>
      <c r="H113" s="21">
        <v>0.375</v>
      </c>
      <c r="I113" s="17" t="s">
        <v>590</v>
      </c>
      <c r="J113" s="17" t="s">
        <v>169</v>
      </c>
      <c r="K113" s="17" t="s">
        <v>585</v>
      </c>
      <c r="L113" s="17" t="s">
        <v>589</v>
      </c>
      <c r="M113" s="25">
        <v>0.42638888888888887</v>
      </c>
      <c r="N113" s="13" t="str">
        <f t="shared" si="10"/>
        <v>-00:06</v>
      </c>
      <c r="O113" s="13" t="str">
        <f t="shared" si="11"/>
        <v>01:14</v>
      </c>
      <c r="P113" s="4">
        <f t="shared" si="12"/>
        <v>2.430555555555558E-2</v>
      </c>
      <c r="Q113" s="4">
        <f t="shared" si="13"/>
        <v>7.9861111111111105E-2</v>
      </c>
      <c r="R113" s="5" t="str">
        <f t="shared" si="14"/>
        <v>01:20</v>
      </c>
      <c r="S113" s="3">
        <v>35.9</v>
      </c>
      <c r="T113" s="18" t="str">
        <f t="shared" si="17"/>
        <v>Yes</v>
      </c>
    </row>
    <row r="114" spans="1:20" ht="18" x14ac:dyDescent="0.25">
      <c r="A114" s="21">
        <v>0.52083333333333337</v>
      </c>
      <c r="B114" s="17" t="s">
        <v>591</v>
      </c>
      <c r="C114" s="17" t="s">
        <v>383</v>
      </c>
      <c r="D114" s="17" t="s">
        <v>585</v>
      </c>
      <c r="E114" s="17" t="s">
        <v>592</v>
      </c>
      <c r="F114" s="21">
        <v>0.52986111111111112</v>
      </c>
      <c r="H114" s="21">
        <v>0.53819444444444442</v>
      </c>
      <c r="I114" s="17" t="s">
        <v>593</v>
      </c>
      <c r="J114" s="17" t="s">
        <v>383</v>
      </c>
      <c r="K114" s="17" t="s">
        <v>585</v>
      </c>
      <c r="L114" s="17" t="s">
        <v>592</v>
      </c>
      <c r="M114" s="25">
        <v>0.56666666666666665</v>
      </c>
      <c r="N114" s="13" t="str">
        <f t="shared" si="10"/>
        <v>00:13</v>
      </c>
      <c r="O114" s="13" t="str">
        <f t="shared" si="11"/>
        <v>00:41</v>
      </c>
      <c r="P114" s="4">
        <f t="shared" si="12"/>
        <v>1.7361111111111049E-2</v>
      </c>
      <c r="Q114" s="4">
        <f t="shared" si="13"/>
        <v>3.6805555555555536E-2</v>
      </c>
      <c r="R114" s="5" t="str">
        <f t="shared" si="14"/>
        <v>00:28</v>
      </c>
      <c r="S114" s="3">
        <v>35.9</v>
      </c>
      <c r="T114" s="18" t="str">
        <f t="shared" si="17"/>
        <v>Yes</v>
      </c>
    </row>
    <row r="115" spans="1:20" ht="18" x14ac:dyDescent="0.25">
      <c r="A115" s="21">
        <v>0.51041666666666663</v>
      </c>
      <c r="B115" s="17" t="s">
        <v>594</v>
      </c>
      <c r="C115" s="17" t="s">
        <v>396</v>
      </c>
      <c r="D115" s="17" t="s">
        <v>595</v>
      </c>
      <c r="E115" s="17" t="s">
        <v>596</v>
      </c>
      <c r="F115" s="21">
        <v>0.50277777777777777</v>
      </c>
      <c r="H115" s="21">
        <v>0.54166666666666663</v>
      </c>
      <c r="I115" s="17" t="s">
        <v>597</v>
      </c>
      <c r="J115" s="17" t="s">
        <v>598</v>
      </c>
      <c r="K115" s="17" t="s">
        <v>595</v>
      </c>
      <c r="L115" s="17" t="s">
        <v>596</v>
      </c>
      <c r="M115" s="25">
        <v>0.56944444444444442</v>
      </c>
      <c r="N115" s="13" t="str">
        <f t="shared" si="10"/>
        <v>-00:11</v>
      </c>
      <c r="O115" s="13" t="str">
        <f t="shared" si="11"/>
        <v>00:40</v>
      </c>
      <c r="P115" s="4">
        <f t="shared" si="12"/>
        <v>3.125E-2</v>
      </c>
      <c r="Q115" s="4">
        <f t="shared" si="13"/>
        <v>6.6666666666666652E-2</v>
      </c>
      <c r="R115" s="5" t="str">
        <f t="shared" si="14"/>
        <v>00:51</v>
      </c>
      <c r="S115" s="3">
        <v>35.9</v>
      </c>
      <c r="T115" s="18" t="str">
        <f t="shared" si="17"/>
        <v>No</v>
      </c>
    </row>
    <row r="116" spans="1:20" ht="18" x14ac:dyDescent="0.25">
      <c r="A116" s="21">
        <v>0.53472222222222221</v>
      </c>
      <c r="B116" s="14" t="s">
        <v>599</v>
      </c>
      <c r="C116" s="17" t="s">
        <v>600</v>
      </c>
      <c r="D116" s="17" t="s">
        <v>601</v>
      </c>
      <c r="E116" s="17" t="s">
        <v>602</v>
      </c>
      <c r="F116" s="21">
        <v>0.54583333333333328</v>
      </c>
      <c r="H116" s="21">
        <v>0.57638888888888895</v>
      </c>
      <c r="I116" s="14" t="s">
        <v>603</v>
      </c>
      <c r="J116" s="17" t="s">
        <v>600</v>
      </c>
      <c r="K116" s="17" t="s">
        <v>601</v>
      </c>
      <c r="L116" s="17" t="s">
        <v>602</v>
      </c>
      <c r="M116" s="25">
        <v>0.59444444444444444</v>
      </c>
      <c r="N116" s="13" t="str">
        <f t="shared" si="10"/>
        <v>00:16</v>
      </c>
      <c r="O116" s="13" t="str">
        <f t="shared" si="11"/>
        <v>00:26</v>
      </c>
      <c r="P116" s="4">
        <f t="shared" si="12"/>
        <v>4.1666666666666741E-2</v>
      </c>
      <c r="Q116" s="4">
        <f t="shared" si="13"/>
        <v>4.861111111111116E-2</v>
      </c>
      <c r="R116" s="5" t="str">
        <f t="shared" si="14"/>
        <v>00:10</v>
      </c>
      <c r="S116" s="3">
        <v>35.9</v>
      </c>
      <c r="T116" s="18" t="str">
        <f t="shared" si="17"/>
        <v>Yes</v>
      </c>
    </row>
    <row r="117" spans="1:20" ht="18" x14ac:dyDescent="0.25">
      <c r="A117" s="21">
        <v>0.57291666666666663</v>
      </c>
      <c r="B117" s="17" t="s">
        <v>604</v>
      </c>
      <c r="C117" s="17" t="s">
        <v>605</v>
      </c>
      <c r="D117" s="17" t="s">
        <v>595</v>
      </c>
      <c r="E117" s="17" t="s">
        <v>606</v>
      </c>
      <c r="F117" s="21">
        <v>0.55277777777777781</v>
      </c>
      <c r="H117" s="21">
        <v>0.625</v>
      </c>
      <c r="I117" s="17" t="s">
        <v>607</v>
      </c>
      <c r="J117" s="17" t="s">
        <v>608</v>
      </c>
      <c r="K117" s="17" t="s">
        <v>595</v>
      </c>
      <c r="L117" s="17" t="s">
        <v>606</v>
      </c>
      <c r="M117" s="25">
        <v>0.63750000000000007</v>
      </c>
      <c r="N117" s="13" t="str">
        <f t="shared" si="10"/>
        <v>-00:29</v>
      </c>
      <c r="O117" s="13" t="str">
        <f t="shared" si="11"/>
        <v>00:18</v>
      </c>
      <c r="P117" s="4">
        <f t="shared" si="12"/>
        <v>5.208333333333337E-2</v>
      </c>
      <c r="Q117" s="4">
        <f t="shared" si="13"/>
        <v>8.4722222222222254E-2</v>
      </c>
      <c r="R117" s="5" t="str">
        <f t="shared" si="14"/>
        <v>00:47</v>
      </c>
      <c r="S117" s="3">
        <v>35.799999999999997</v>
      </c>
      <c r="T117" s="18" t="str">
        <f t="shared" si="17"/>
        <v>No</v>
      </c>
    </row>
    <row r="118" spans="1:20" ht="18" x14ac:dyDescent="0.25">
      <c r="A118" s="21">
        <v>0.50694444444444442</v>
      </c>
      <c r="B118" s="17" t="s">
        <v>609</v>
      </c>
      <c r="C118" s="17" t="s">
        <v>610</v>
      </c>
      <c r="D118" s="17" t="s">
        <v>595</v>
      </c>
      <c r="E118" s="17" t="s">
        <v>611</v>
      </c>
      <c r="F118" s="21">
        <v>0.48194444444444445</v>
      </c>
      <c r="H118" s="21">
        <v>0.59375</v>
      </c>
      <c r="I118" s="17" t="s">
        <v>612</v>
      </c>
      <c r="J118" s="17" t="s">
        <v>613</v>
      </c>
      <c r="K118" s="17" t="s">
        <v>595</v>
      </c>
      <c r="L118" s="17" t="s">
        <v>611</v>
      </c>
      <c r="M118" s="25">
        <v>0.6020833333333333</v>
      </c>
      <c r="N118" s="13" t="str">
        <f t="shared" si="10"/>
        <v>-00:36</v>
      </c>
      <c r="O118" s="13" t="str">
        <f t="shared" si="11"/>
        <v>00:12</v>
      </c>
      <c r="P118" s="4">
        <f t="shared" si="12"/>
        <v>8.680555555555558E-2</v>
      </c>
      <c r="Q118" s="4">
        <f t="shared" si="13"/>
        <v>0.12013888888888885</v>
      </c>
      <c r="R118" s="5" t="str">
        <f t="shared" si="14"/>
        <v>00:48</v>
      </c>
      <c r="S118" s="3">
        <v>35.799999999999997</v>
      </c>
      <c r="T118" s="18" t="str">
        <f t="shared" si="17"/>
        <v>No</v>
      </c>
    </row>
    <row r="119" spans="1:20" ht="18" x14ac:dyDescent="0.25">
      <c r="A119" s="21">
        <v>0.57638888888888895</v>
      </c>
      <c r="B119" s="17" t="s">
        <v>614</v>
      </c>
      <c r="C119" s="17" t="s">
        <v>615</v>
      </c>
      <c r="D119" s="17" t="s">
        <v>616</v>
      </c>
      <c r="E119" s="17" t="s">
        <v>617</v>
      </c>
      <c r="F119" s="21">
        <v>0.58611111111111114</v>
      </c>
      <c r="H119" s="21">
        <v>0.625</v>
      </c>
      <c r="I119" s="17" t="s">
        <v>618</v>
      </c>
      <c r="J119" s="17" t="s">
        <v>615</v>
      </c>
      <c r="K119" s="17" t="s">
        <v>616</v>
      </c>
      <c r="L119" s="17" t="s">
        <v>617</v>
      </c>
      <c r="M119" s="25">
        <v>0.64861111111111114</v>
      </c>
      <c r="N119" s="13" t="str">
        <f t="shared" si="10"/>
        <v>00:14</v>
      </c>
      <c r="O119" s="13" t="str">
        <f t="shared" si="11"/>
        <v>00:34</v>
      </c>
      <c r="P119" s="4">
        <f t="shared" si="12"/>
        <v>4.8611111111111049E-2</v>
      </c>
      <c r="Q119" s="4">
        <f t="shared" si="13"/>
        <v>6.25E-2</v>
      </c>
      <c r="R119" s="5" t="str">
        <f t="shared" si="14"/>
        <v>00:20</v>
      </c>
      <c r="S119" s="3">
        <v>35.799999999999997</v>
      </c>
      <c r="T119" s="18" t="str">
        <f t="shared" si="17"/>
        <v>Yes</v>
      </c>
    </row>
    <row r="120" spans="1:20" ht="18" x14ac:dyDescent="0.25">
      <c r="A120" s="21">
        <v>0.60069444444444442</v>
      </c>
      <c r="B120" s="17" t="s">
        <v>619</v>
      </c>
      <c r="C120" s="17" t="s">
        <v>420</v>
      </c>
      <c r="D120" s="17" t="s">
        <v>620</v>
      </c>
      <c r="E120" s="17" t="s">
        <v>621</v>
      </c>
      <c r="F120" s="21">
        <v>0.60972222222222217</v>
      </c>
      <c r="H120" s="21">
        <v>0.62847222222222221</v>
      </c>
      <c r="I120" s="17" t="s">
        <v>622</v>
      </c>
      <c r="J120" s="17" t="s">
        <v>623</v>
      </c>
      <c r="K120" s="17" t="s">
        <v>620</v>
      </c>
      <c r="L120" s="17" t="s">
        <v>621</v>
      </c>
      <c r="M120" s="25">
        <v>0.66041666666666665</v>
      </c>
      <c r="N120" s="13" t="str">
        <f t="shared" si="10"/>
        <v>00:13</v>
      </c>
      <c r="O120" s="13" t="str">
        <f t="shared" si="11"/>
        <v>00:46</v>
      </c>
      <c r="P120" s="4">
        <f t="shared" si="12"/>
        <v>2.777777777777779E-2</v>
      </c>
      <c r="Q120" s="4">
        <f t="shared" si="13"/>
        <v>5.0694444444444486E-2</v>
      </c>
      <c r="R120" s="5" t="str">
        <f t="shared" si="14"/>
        <v>00:33</v>
      </c>
      <c r="S120" s="3">
        <v>35.799999999999997</v>
      </c>
      <c r="T120" s="18" t="str">
        <f t="shared" ref="T120:T151" si="18">IF(C120=J120, "Yes", "No")</f>
        <v>No</v>
      </c>
    </row>
    <row r="121" spans="1:20" ht="18" x14ac:dyDescent="0.25">
      <c r="A121" s="21">
        <v>0.30902777777777779</v>
      </c>
      <c r="B121" s="17" t="s">
        <v>624</v>
      </c>
      <c r="C121" s="17" t="s">
        <v>463</v>
      </c>
      <c r="D121" s="17" t="s">
        <v>585</v>
      </c>
      <c r="E121" s="17" t="s">
        <v>625</v>
      </c>
      <c r="F121" s="21">
        <v>0.30416666666666664</v>
      </c>
      <c r="H121" s="21">
        <v>0.3263888888888889</v>
      </c>
      <c r="I121" s="17" t="s">
        <v>626</v>
      </c>
      <c r="J121" s="17" t="s">
        <v>463</v>
      </c>
      <c r="K121" s="17" t="s">
        <v>585</v>
      </c>
      <c r="L121" s="17" t="s">
        <v>625</v>
      </c>
      <c r="M121" s="25">
        <v>0.33749999999999997</v>
      </c>
      <c r="N121" s="13" t="str">
        <f t="shared" si="10"/>
        <v>-00:07</v>
      </c>
      <c r="O121" s="13" t="str">
        <f t="shared" si="11"/>
        <v>00:16</v>
      </c>
      <c r="P121" s="4">
        <f t="shared" si="12"/>
        <v>1.7361111111111105E-2</v>
      </c>
      <c r="Q121" s="4">
        <f t="shared" si="13"/>
        <v>3.3333333333333326E-2</v>
      </c>
      <c r="R121" s="5" t="str">
        <f t="shared" si="14"/>
        <v>00:23</v>
      </c>
      <c r="S121" s="3">
        <v>35.799999999999997</v>
      </c>
      <c r="T121" s="18" t="str">
        <f t="shared" si="18"/>
        <v>Yes</v>
      </c>
    </row>
    <row r="122" spans="1:20" ht="18" x14ac:dyDescent="0.25">
      <c r="A122" s="21">
        <v>0.73263888888888884</v>
      </c>
      <c r="B122" s="17" t="s">
        <v>627</v>
      </c>
      <c r="C122" s="17" t="s">
        <v>628</v>
      </c>
      <c r="D122" s="17" t="s">
        <v>629</v>
      </c>
      <c r="E122" s="17" t="s">
        <v>630</v>
      </c>
      <c r="F122" s="21">
        <v>0.74513888888888891</v>
      </c>
      <c r="H122" s="21">
        <v>0.77430555555555547</v>
      </c>
      <c r="I122" s="17" t="s">
        <v>631</v>
      </c>
      <c r="J122" s="17" t="s">
        <v>628</v>
      </c>
      <c r="K122" s="17" t="s">
        <v>629</v>
      </c>
      <c r="L122" s="17" t="s">
        <v>630</v>
      </c>
      <c r="M122" s="25">
        <v>0.78819444444444453</v>
      </c>
      <c r="N122" s="13" t="str">
        <f t="shared" si="10"/>
        <v>00:18</v>
      </c>
      <c r="O122" s="13" t="str">
        <f t="shared" si="11"/>
        <v>00:20</v>
      </c>
      <c r="P122" s="4">
        <f t="shared" si="12"/>
        <v>4.166666666666663E-2</v>
      </c>
      <c r="Q122" s="4">
        <f t="shared" si="13"/>
        <v>4.3055555555555625E-2</v>
      </c>
      <c r="R122" s="5" t="str">
        <f t="shared" si="14"/>
        <v>00:02</v>
      </c>
      <c r="S122" s="3">
        <v>35.799999999999997</v>
      </c>
      <c r="T122" s="18" t="str">
        <f t="shared" si="18"/>
        <v>Yes</v>
      </c>
    </row>
    <row r="123" spans="1:20" ht="18" x14ac:dyDescent="0.25">
      <c r="A123" s="21">
        <v>0.40625</v>
      </c>
      <c r="B123" s="17" t="s">
        <v>632</v>
      </c>
      <c r="C123" s="17" t="s">
        <v>169</v>
      </c>
      <c r="D123" s="17" t="s">
        <v>633</v>
      </c>
      <c r="E123" s="17" t="s">
        <v>634</v>
      </c>
      <c r="F123" s="21">
        <v>0.3979166666666667</v>
      </c>
      <c r="H123" s="21">
        <v>0.44791666666666669</v>
      </c>
      <c r="I123" s="17" t="s">
        <v>635</v>
      </c>
      <c r="J123" s="17" t="s">
        <v>169</v>
      </c>
      <c r="K123" s="17" t="s">
        <v>633</v>
      </c>
      <c r="L123" s="17" t="s">
        <v>634</v>
      </c>
      <c r="M123" s="25">
        <v>0.45902777777777781</v>
      </c>
      <c r="N123" s="13" t="str">
        <f t="shared" si="10"/>
        <v>-00:12</v>
      </c>
      <c r="O123" s="13" t="str">
        <f t="shared" si="11"/>
        <v>00:16</v>
      </c>
      <c r="P123" s="4">
        <f t="shared" si="12"/>
        <v>4.1666666666666685E-2</v>
      </c>
      <c r="Q123" s="4">
        <f t="shared" si="13"/>
        <v>6.1111111111111116E-2</v>
      </c>
      <c r="R123" s="5" t="str">
        <f t="shared" si="14"/>
        <v>00:28</v>
      </c>
      <c r="S123" s="3">
        <v>35.799999999999997</v>
      </c>
      <c r="T123" s="18" t="str">
        <f t="shared" si="18"/>
        <v>Yes</v>
      </c>
    </row>
    <row r="124" spans="1:20" ht="18" x14ac:dyDescent="0.25">
      <c r="A124" s="21">
        <v>0.4513888888888889</v>
      </c>
      <c r="B124" s="17" t="s">
        <v>636</v>
      </c>
      <c r="C124" s="17" t="s">
        <v>392</v>
      </c>
      <c r="D124" s="17" t="s">
        <v>585</v>
      </c>
      <c r="E124" s="17" t="s">
        <v>637</v>
      </c>
      <c r="F124" s="21">
        <v>0.45</v>
      </c>
      <c r="H124" s="21">
        <v>0.46875</v>
      </c>
      <c r="I124" s="17" t="s">
        <v>638</v>
      </c>
      <c r="J124" s="17" t="s">
        <v>392</v>
      </c>
      <c r="K124" s="17" t="s">
        <v>585</v>
      </c>
      <c r="L124" s="17" t="s">
        <v>637</v>
      </c>
      <c r="M124" s="25">
        <v>0.48958333333333331</v>
      </c>
      <c r="N124" s="13" t="str">
        <f t="shared" si="10"/>
        <v>-00:02</v>
      </c>
      <c r="O124" s="13" t="str">
        <f t="shared" si="11"/>
        <v>00:30</v>
      </c>
      <c r="P124" s="4">
        <f t="shared" si="12"/>
        <v>1.7361111111111105E-2</v>
      </c>
      <c r="Q124" s="4">
        <f t="shared" si="13"/>
        <v>3.9583333333333304E-2</v>
      </c>
      <c r="R124" s="5" t="str">
        <f t="shared" si="14"/>
        <v>00:32</v>
      </c>
      <c r="S124" s="3">
        <v>35.799999999999997</v>
      </c>
      <c r="T124" s="18" t="str">
        <f t="shared" si="18"/>
        <v>Yes</v>
      </c>
    </row>
    <row r="125" spans="1:20" ht="18" x14ac:dyDescent="0.25">
      <c r="A125" s="21">
        <v>0.61805555555555558</v>
      </c>
      <c r="B125" s="17" t="s">
        <v>639</v>
      </c>
      <c r="C125" s="17" t="s">
        <v>406</v>
      </c>
      <c r="D125" s="17" t="s">
        <v>585</v>
      </c>
      <c r="E125" s="17" t="s">
        <v>640</v>
      </c>
      <c r="F125" s="21">
        <v>0.6069444444444444</v>
      </c>
      <c r="H125" s="21">
        <v>0.63888888888888895</v>
      </c>
      <c r="I125" s="17" t="s">
        <v>641</v>
      </c>
      <c r="J125" s="17" t="s">
        <v>406</v>
      </c>
      <c r="K125" s="17" t="s">
        <v>585</v>
      </c>
      <c r="L125" s="17" t="s">
        <v>640</v>
      </c>
      <c r="M125" s="25">
        <v>0.64513888888888882</v>
      </c>
      <c r="N125" s="13" t="str">
        <f t="shared" si="10"/>
        <v>-00:16</v>
      </c>
      <c r="O125" s="13" t="str">
        <f t="shared" si="11"/>
        <v>00:09</v>
      </c>
      <c r="P125" s="4">
        <f t="shared" si="12"/>
        <v>2.083333333333337E-2</v>
      </c>
      <c r="Q125" s="4">
        <f t="shared" si="13"/>
        <v>3.819444444444442E-2</v>
      </c>
      <c r="R125" s="5" t="str">
        <f t="shared" si="14"/>
        <v>00:25</v>
      </c>
      <c r="S125" s="3">
        <v>35.799999999999997</v>
      </c>
      <c r="T125" s="18" t="str">
        <f t="shared" si="18"/>
        <v>Yes</v>
      </c>
    </row>
    <row r="126" spans="1:20" ht="18" x14ac:dyDescent="0.25">
      <c r="A126" s="21">
        <v>0.37152777777777773</v>
      </c>
      <c r="B126" s="17" t="s">
        <v>642</v>
      </c>
      <c r="C126" s="17" t="s">
        <v>406</v>
      </c>
      <c r="D126" s="17" t="s">
        <v>585</v>
      </c>
      <c r="E126" s="17" t="s">
        <v>643</v>
      </c>
      <c r="F126" s="21">
        <v>0.35555555555555557</v>
      </c>
      <c r="H126" s="21">
        <v>0.3923611111111111</v>
      </c>
      <c r="I126" s="17" t="s">
        <v>644</v>
      </c>
      <c r="J126" s="17" t="s">
        <v>406</v>
      </c>
      <c r="K126" s="17" t="s">
        <v>585</v>
      </c>
      <c r="L126" s="17" t="s">
        <v>643</v>
      </c>
      <c r="M126" s="25">
        <v>0.3972222222222222</v>
      </c>
      <c r="N126" s="13" t="str">
        <f t="shared" si="10"/>
        <v>-00:23</v>
      </c>
      <c r="O126" s="13" t="str">
        <f t="shared" si="11"/>
        <v>00:07</v>
      </c>
      <c r="P126" s="4">
        <f t="shared" si="12"/>
        <v>2.083333333333337E-2</v>
      </c>
      <c r="Q126" s="4">
        <f t="shared" si="13"/>
        <v>4.166666666666663E-2</v>
      </c>
      <c r="R126" s="5" t="str">
        <f t="shared" si="14"/>
        <v>00:30</v>
      </c>
      <c r="S126" s="3">
        <v>35.799999999999997</v>
      </c>
      <c r="T126" s="18" t="str">
        <f t="shared" si="18"/>
        <v>Yes</v>
      </c>
    </row>
    <row r="127" spans="1:20" ht="18" x14ac:dyDescent="0.25">
      <c r="A127" s="21">
        <v>0.39583333333333331</v>
      </c>
      <c r="B127" s="17" t="s">
        <v>645</v>
      </c>
      <c r="C127" s="17" t="s">
        <v>477</v>
      </c>
      <c r="D127" s="17" t="s">
        <v>585</v>
      </c>
      <c r="E127" s="17" t="s">
        <v>646</v>
      </c>
      <c r="F127" s="21">
        <v>0.38541666666666669</v>
      </c>
      <c r="H127" s="21">
        <v>0.41319444444444442</v>
      </c>
      <c r="I127" s="17" t="s">
        <v>647</v>
      </c>
      <c r="J127" s="17" t="s">
        <v>477</v>
      </c>
      <c r="K127" s="17" t="s">
        <v>585</v>
      </c>
      <c r="L127" s="17" t="s">
        <v>646</v>
      </c>
      <c r="M127" s="25">
        <v>0.42777777777777781</v>
      </c>
      <c r="N127" s="13" t="str">
        <f t="shared" si="10"/>
        <v>-00:15</v>
      </c>
      <c r="O127" s="13" t="str">
        <f t="shared" si="11"/>
        <v>00:21</v>
      </c>
      <c r="P127" s="4">
        <f t="shared" si="12"/>
        <v>1.7361111111111105E-2</v>
      </c>
      <c r="Q127" s="4">
        <f t="shared" si="13"/>
        <v>4.2361111111111127E-2</v>
      </c>
      <c r="R127" s="5" t="str">
        <f t="shared" si="14"/>
        <v>00:36</v>
      </c>
      <c r="S127" s="3">
        <v>35.799999999999997</v>
      </c>
      <c r="T127" s="18" t="str">
        <f t="shared" si="18"/>
        <v>Yes</v>
      </c>
    </row>
    <row r="128" spans="1:20" ht="18" x14ac:dyDescent="0.25">
      <c r="A128" s="21">
        <v>0.51874999999999993</v>
      </c>
      <c r="B128" s="17" t="s">
        <v>648</v>
      </c>
      <c r="C128" s="17" t="s">
        <v>523</v>
      </c>
      <c r="D128" s="17" t="s">
        <v>649</v>
      </c>
      <c r="E128" s="17" t="s">
        <v>650</v>
      </c>
      <c r="F128" s="21">
        <v>0.52152777777777781</v>
      </c>
      <c r="H128" s="21">
        <v>0.66666666666666663</v>
      </c>
      <c r="I128" s="17" t="s">
        <v>651</v>
      </c>
      <c r="J128" s="17" t="s">
        <v>615</v>
      </c>
      <c r="K128" s="17" t="s">
        <v>649</v>
      </c>
      <c r="L128" s="17" t="s">
        <v>650</v>
      </c>
      <c r="M128" s="25">
        <v>0.66666666666666663</v>
      </c>
      <c r="N128" s="13" t="str">
        <f t="shared" si="10"/>
        <v>00:04</v>
      </c>
      <c r="O128" s="13" t="str">
        <f t="shared" si="11"/>
        <v>00:00</v>
      </c>
      <c r="P128" s="4">
        <f t="shared" si="12"/>
        <v>0.1479166666666667</v>
      </c>
      <c r="Q128" s="4">
        <f t="shared" si="13"/>
        <v>0.14513888888888882</v>
      </c>
      <c r="R128" s="5" t="str">
        <f t="shared" si="14"/>
        <v>-00:04</v>
      </c>
      <c r="S128" s="3">
        <v>35.799999999999997</v>
      </c>
      <c r="T128" s="18" t="str">
        <f t="shared" si="18"/>
        <v>No</v>
      </c>
    </row>
    <row r="129" spans="1:20" ht="18" x14ac:dyDescent="0.25">
      <c r="A129" s="21">
        <v>6.9444444444444447E-4</v>
      </c>
      <c r="B129" s="17" t="s">
        <v>652</v>
      </c>
      <c r="C129" s="17" t="s">
        <v>653</v>
      </c>
      <c r="D129" s="17" t="s">
        <v>595</v>
      </c>
      <c r="E129" s="17" t="s">
        <v>654</v>
      </c>
      <c r="F129" s="21">
        <v>1.3888888888888889E-3</v>
      </c>
      <c r="H129" s="21">
        <v>0.25694444444444448</v>
      </c>
      <c r="I129" s="17" t="s">
        <v>655</v>
      </c>
      <c r="J129" s="17" t="s">
        <v>656</v>
      </c>
      <c r="K129" s="17" t="s">
        <v>595</v>
      </c>
      <c r="L129" s="17" t="s">
        <v>654</v>
      </c>
      <c r="M129" s="25">
        <v>0.26944444444444443</v>
      </c>
      <c r="N129" s="13" t="str">
        <f t="shared" si="10"/>
        <v>00:01</v>
      </c>
      <c r="O129" s="13" t="str">
        <f t="shared" si="11"/>
        <v>00:18</v>
      </c>
      <c r="P129" s="4">
        <f t="shared" si="12"/>
        <v>0.25625000000000003</v>
      </c>
      <c r="Q129" s="4">
        <f t="shared" si="13"/>
        <v>0.26805555555555555</v>
      </c>
      <c r="R129" s="5" t="str">
        <f t="shared" si="14"/>
        <v>00:17</v>
      </c>
      <c r="S129" s="3">
        <v>35.799999999999997</v>
      </c>
      <c r="T129" s="18" t="str">
        <f t="shared" si="18"/>
        <v>No</v>
      </c>
    </row>
    <row r="130" spans="1:20" ht="18" x14ac:dyDescent="0.25">
      <c r="A130" s="21">
        <v>0.5</v>
      </c>
      <c r="B130" s="17" t="s">
        <v>657</v>
      </c>
      <c r="C130" s="17" t="s">
        <v>656</v>
      </c>
      <c r="D130" s="17" t="s">
        <v>595</v>
      </c>
      <c r="E130" s="17" t="s">
        <v>654</v>
      </c>
      <c r="F130" s="21">
        <v>0.48333333333333334</v>
      </c>
      <c r="H130" s="21">
        <v>0.53472222222222221</v>
      </c>
      <c r="I130" s="17" t="s">
        <v>658</v>
      </c>
      <c r="J130" s="17" t="s">
        <v>659</v>
      </c>
      <c r="K130" s="17" t="s">
        <v>595</v>
      </c>
      <c r="L130" s="17" t="s">
        <v>654</v>
      </c>
      <c r="M130" s="25">
        <v>0.55555555555555558</v>
      </c>
      <c r="N130" s="13" t="str">
        <f t="shared" si="10"/>
        <v>-00:24</v>
      </c>
      <c r="O130" s="13" t="str">
        <f t="shared" si="11"/>
        <v>00:30</v>
      </c>
      <c r="P130" s="4">
        <f t="shared" si="12"/>
        <v>3.472222222222221E-2</v>
      </c>
      <c r="Q130" s="4">
        <f t="shared" si="13"/>
        <v>7.2222222222222243E-2</v>
      </c>
      <c r="R130" s="5" t="str">
        <f t="shared" si="14"/>
        <v>00:54</v>
      </c>
      <c r="S130" s="3">
        <v>35.799999999999997</v>
      </c>
      <c r="T130" s="18" t="str">
        <f t="shared" si="18"/>
        <v>No</v>
      </c>
    </row>
    <row r="131" spans="1:20" ht="18" x14ac:dyDescent="0.25">
      <c r="A131" s="21">
        <v>0.59722222222222221</v>
      </c>
      <c r="B131" s="17" t="s">
        <v>660</v>
      </c>
      <c r="C131" s="17" t="s">
        <v>661</v>
      </c>
      <c r="D131" s="17" t="s">
        <v>595</v>
      </c>
      <c r="E131" s="17" t="s">
        <v>662</v>
      </c>
      <c r="F131" s="21">
        <v>0.57916666666666672</v>
      </c>
      <c r="H131" s="21">
        <v>0.64236111111111105</v>
      </c>
      <c r="I131" s="17" t="s">
        <v>663</v>
      </c>
      <c r="J131" s="17" t="s">
        <v>664</v>
      </c>
      <c r="K131" s="17" t="s">
        <v>595</v>
      </c>
      <c r="L131" s="17" t="s">
        <v>662</v>
      </c>
      <c r="M131" s="25">
        <v>0.65</v>
      </c>
      <c r="N131" s="13" t="str">
        <f t="shared" si="10"/>
        <v>-00:26</v>
      </c>
      <c r="O131" s="13" t="str">
        <f t="shared" si="11"/>
        <v>00:11</v>
      </c>
      <c r="P131" s="4">
        <f t="shared" si="12"/>
        <v>4.513888888888884E-2</v>
      </c>
      <c r="Q131" s="4">
        <f t="shared" si="13"/>
        <v>7.0833333333333304E-2</v>
      </c>
      <c r="R131" s="5" t="str">
        <f t="shared" si="14"/>
        <v>00:37</v>
      </c>
      <c r="S131" s="3">
        <v>35.799999999999997</v>
      </c>
      <c r="T131" s="18" t="str">
        <f t="shared" si="18"/>
        <v>No</v>
      </c>
    </row>
    <row r="132" spans="1:20" ht="18" x14ac:dyDescent="0.25">
      <c r="A132" s="21">
        <v>0.54513888888888895</v>
      </c>
      <c r="B132" s="17" t="s">
        <v>665</v>
      </c>
      <c r="C132" s="17" t="s">
        <v>666</v>
      </c>
      <c r="D132" s="17" t="s">
        <v>667</v>
      </c>
      <c r="E132" s="17" t="s">
        <v>668</v>
      </c>
      <c r="F132" s="21">
        <v>0.54166666666666663</v>
      </c>
      <c r="H132" s="21">
        <v>0.66666666666666663</v>
      </c>
      <c r="I132" s="17" t="s">
        <v>669</v>
      </c>
      <c r="J132" s="17" t="s">
        <v>670</v>
      </c>
      <c r="K132" s="17" t="s">
        <v>667</v>
      </c>
      <c r="L132" s="17" t="s">
        <v>668</v>
      </c>
      <c r="M132" s="25">
        <v>0.66666666666666663</v>
      </c>
      <c r="N132" s="13" t="str">
        <f t="shared" ref="N132:N177" si="19">IF(F132&lt;A132, "-"&amp;TEXT(ABS(F132-A132), "hh:mm"), TEXT(F132-A132, "hh:mm"))</f>
        <v>-00:05</v>
      </c>
      <c r="O132" s="13" t="str">
        <f t="shared" ref="O132:O177" si="20">IF(M132&lt;H132, "-"&amp;TEXT(ABS(M132-H132), "hh:mm"), TEXT(M132-H132, "hh:mm"))</f>
        <v>00:00</v>
      </c>
      <c r="P132" s="4">
        <f t="shared" ref="P132:P177" si="21">H132-A132</f>
        <v>0.12152777777777768</v>
      </c>
      <c r="Q132" s="4">
        <f t="shared" ref="Q132:Q177" si="22">M132-F132</f>
        <v>0.125</v>
      </c>
      <c r="R132" s="5" t="str">
        <f t="shared" ref="R132:R177" si="23">IF(Q132&lt;P132, "-"&amp;TEXT(ABS(Q132-P132), "hh:mm"), TEXT(Q132-P132, "hh:mm"))</f>
        <v>00:05</v>
      </c>
      <c r="S132" s="3">
        <v>35.799999999999997</v>
      </c>
      <c r="T132" s="18" t="str">
        <f t="shared" si="18"/>
        <v>No</v>
      </c>
    </row>
    <row r="133" spans="1:20" ht="18" x14ac:dyDescent="0.25">
      <c r="A133" s="21">
        <v>0.56944444444444442</v>
      </c>
      <c r="B133" s="17" t="s">
        <v>671</v>
      </c>
      <c r="C133" s="17" t="s">
        <v>189</v>
      </c>
      <c r="D133" s="17" t="s">
        <v>667</v>
      </c>
      <c r="E133" s="17" t="s">
        <v>672</v>
      </c>
      <c r="F133" s="21">
        <v>0.57361111111111118</v>
      </c>
      <c r="H133" s="21">
        <v>0.67708333333333337</v>
      </c>
      <c r="I133" s="17" t="s">
        <v>673</v>
      </c>
      <c r="J133" s="17" t="s">
        <v>392</v>
      </c>
      <c r="K133" s="17" t="s">
        <v>667</v>
      </c>
      <c r="L133" s="17" t="s">
        <v>672</v>
      </c>
      <c r="M133" s="25">
        <v>0.67708333333333337</v>
      </c>
      <c r="N133" s="13" t="str">
        <f t="shared" si="19"/>
        <v>00:06</v>
      </c>
      <c r="O133" s="13" t="str">
        <f t="shared" si="20"/>
        <v>00:00</v>
      </c>
      <c r="P133" s="4">
        <f t="shared" si="21"/>
        <v>0.10763888888888895</v>
      </c>
      <c r="Q133" s="4">
        <f t="shared" si="22"/>
        <v>0.10347222222222219</v>
      </c>
      <c r="R133" s="5" t="str">
        <f t="shared" si="23"/>
        <v>-00:06</v>
      </c>
      <c r="S133" s="3">
        <v>35.799999999999997</v>
      </c>
      <c r="T133" s="18" t="str">
        <f t="shared" si="18"/>
        <v>No</v>
      </c>
    </row>
    <row r="134" spans="1:20" ht="18" x14ac:dyDescent="0.25">
      <c r="A134" s="21">
        <v>0.63541666666666663</v>
      </c>
      <c r="B134" s="14" t="s">
        <v>674</v>
      </c>
      <c r="C134" s="17" t="s">
        <v>675</v>
      </c>
      <c r="D134" s="17" t="s">
        <v>676</v>
      </c>
      <c r="E134" s="17" t="s">
        <v>677</v>
      </c>
      <c r="F134" s="21">
        <v>0.64374999999999993</v>
      </c>
      <c r="H134" s="21">
        <v>0.67708333333333337</v>
      </c>
      <c r="I134" s="14" t="s">
        <v>678</v>
      </c>
      <c r="J134" s="17" t="s">
        <v>675</v>
      </c>
      <c r="K134" s="17" t="s">
        <v>676</v>
      </c>
      <c r="L134" s="17" t="s">
        <v>677</v>
      </c>
      <c r="M134" s="25">
        <v>0.68402777777777779</v>
      </c>
      <c r="N134" s="13" t="str">
        <f t="shared" si="19"/>
        <v>00:12</v>
      </c>
      <c r="O134" s="13" t="str">
        <f t="shared" si="20"/>
        <v>00:10</v>
      </c>
      <c r="P134" s="4">
        <f t="shared" si="21"/>
        <v>4.1666666666666741E-2</v>
      </c>
      <c r="Q134" s="4">
        <f t="shared" si="22"/>
        <v>4.0277777777777857E-2</v>
      </c>
      <c r="R134" s="5" t="str">
        <f t="shared" si="23"/>
        <v>-00:02</v>
      </c>
      <c r="S134" s="3">
        <v>35.799999999999997</v>
      </c>
      <c r="T134" s="18" t="str">
        <f t="shared" si="18"/>
        <v>Yes</v>
      </c>
    </row>
    <row r="135" spans="1:20" ht="18" x14ac:dyDescent="0.25">
      <c r="A135" s="21">
        <v>0.2986111111111111</v>
      </c>
      <c r="B135" s="17" t="s">
        <v>679</v>
      </c>
      <c r="C135" s="17" t="s">
        <v>680</v>
      </c>
      <c r="D135" s="17" t="s">
        <v>681</v>
      </c>
      <c r="E135" s="17" t="s">
        <v>682</v>
      </c>
      <c r="F135" s="21">
        <v>0.29305555555555557</v>
      </c>
      <c r="H135" s="21">
        <v>0.34027777777777773</v>
      </c>
      <c r="I135" s="17" t="s">
        <v>683</v>
      </c>
      <c r="J135" s="17" t="s">
        <v>653</v>
      </c>
      <c r="K135" s="17" t="s">
        <v>681</v>
      </c>
      <c r="L135" s="17" t="s">
        <v>682</v>
      </c>
      <c r="M135" s="25">
        <v>0.35069444444444442</v>
      </c>
      <c r="N135" s="13" t="str">
        <f t="shared" si="19"/>
        <v>-00:08</v>
      </c>
      <c r="O135" s="13" t="str">
        <f t="shared" si="20"/>
        <v>00:15</v>
      </c>
      <c r="P135" s="4">
        <f t="shared" si="21"/>
        <v>4.166666666666663E-2</v>
      </c>
      <c r="Q135" s="4">
        <f t="shared" si="22"/>
        <v>5.7638888888888851E-2</v>
      </c>
      <c r="R135" s="5" t="str">
        <f t="shared" si="23"/>
        <v>00:23</v>
      </c>
      <c r="S135" s="3">
        <v>35.799999999999997</v>
      </c>
      <c r="T135" s="18" t="str">
        <f t="shared" si="18"/>
        <v>No</v>
      </c>
    </row>
    <row r="136" spans="1:20" ht="18" x14ac:dyDescent="0.25">
      <c r="A136" s="21">
        <v>0.67083333333333339</v>
      </c>
      <c r="B136" s="17" t="s">
        <v>684</v>
      </c>
      <c r="C136" s="17" t="s">
        <v>653</v>
      </c>
      <c r="D136" s="17" t="s">
        <v>681</v>
      </c>
      <c r="E136" s="17" t="s">
        <v>682</v>
      </c>
      <c r="F136" s="21">
        <v>0.68125000000000002</v>
      </c>
      <c r="H136" s="21">
        <v>0.73611111111111116</v>
      </c>
      <c r="I136" s="14" t="s">
        <v>685</v>
      </c>
      <c r="J136" s="17" t="s">
        <v>680</v>
      </c>
      <c r="K136" s="17" t="s">
        <v>681</v>
      </c>
      <c r="L136" s="17" t="s">
        <v>682</v>
      </c>
      <c r="M136" s="25">
        <v>0.74375000000000002</v>
      </c>
      <c r="N136" s="13" t="str">
        <f t="shared" si="19"/>
        <v>00:15</v>
      </c>
      <c r="O136" s="13" t="str">
        <f t="shared" si="20"/>
        <v>00:11</v>
      </c>
      <c r="P136" s="4">
        <f t="shared" si="21"/>
        <v>6.5277777777777768E-2</v>
      </c>
      <c r="Q136" s="4">
        <f t="shared" si="22"/>
        <v>6.25E-2</v>
      </c>
      <c r="R136" s="5" t="str">
        <f t="shared" si="23"/>
        <v>-00:04</v>
      </c>
      <c r="S136" s="3">
        <v>35.799999999999997</v>
      </c>
      <c r="T136" s="18" t="str">
        <f t="shared" si="18"/>
        <v>No</v>
      </c>
    </row>
    <row r="137" spans="1:20" ht="18" x14ac:dyDescent="0.25">
      <c r="A137" s="21">
        <v>0.41319444444444442</v>
      </c>
      <c r="B137" s="14" t="s">
        <v>686</v>
      </c>
      <c r="C137" s="17" t="s">
        <v>687</v>
      </c>
      <c r="D137" s="17" t="s">
        <v>681</v>
      </c>
      <c r="E137" s="17" t="s">
        <v>688</v>
      </c>
      <c r="F137" s="21">
        <v>0.39305555555555555</v>
      </c>
      <c r="H137" s="21">
        <v>0.46180555555555558</v>
      </c>
      <c r="I137" s="17" t="s">
        <v>689</v>
      </c>
      <c r="J137" s="17" t="s">
        <v>687</v>
      </c>
      <c r="K137" s="17" t="s">
        <v>681</v>
      </c>
      <c r="L137" s="17" t="s">
        <v>688</v>
      </c>
      <c r="M137" s="25">
        <v>0.4770833333333333</v>
      </c>
      <c r="N137" s="13" t="str">
        <f t="shared" si="19"/>
        <v>-00:29</v>
      </c>
      <c r="O137" s="13" t="str">
        <f t="shared" si="20"/>
        <v>00:22</v>
      </c>
      <c r="P137" s="4">
        <f t="shared" si="21"/>
        <v>4.861111111111116E-2</v>
      </c>
      <c r="Q137" s="4">
        <f t="shared" si="22"/>
        <v>8.4027777777777757E-2</v>
      </c>
      <c r="R137" s="5" t="str">
        <f t="shared" si="23"/>
        <v>00:51</v>
      </c>
      <c r="S137" s="3">
        <v>35.799999999999997</v>
      </c>
      <c r="T137" s="18" t="str">
        <f t="shared" si="18"/>
        <v>Yes</v>
      </c>
    </row>
    <row r="138" spans="1:20" ht="18" x14ac:dyDescent="0.25">
      <c r="A138" s="21">
        <v>0.70138888888888884</v>
      </c>
      <c r="B138" s="14" t="s">
        <v>690</v>
      </c>
      <c r="C138" s="17" t="s">
        <v>518</v>
      </c>
      <c r="D138" s="17" t="s">
        <v>681</v>
      </c>
      <c r="E138" s="17" t="s">
        <v>691</v>
      </c>
      <c r="F138" s="21">
        <v>0.69930555555555562</v>
      </c>
      <c r="H138" s="21">
        <v>0.73958333333333337</v>
      </c>
      <c r="I138" s="14" t="s">
        <v>692</v>
      </c>
      <c r="J138" s="17" t="s">
        <v>518</v>
      </c>
      <c r="K138" s="17" t="s">
        <v>681</v>
      </c>
      <c r="L138" s="17" t="s">
        <v>691</v>
      </c>
      <c r="M138" s="25">
        <v>0.74722222222222223</v>
      </c>
      <c r="N138" s="13" t="str">
        <f t="shared" si="19"/>
        <v>-00:03</v>
      </c>
      <c r="O138" s="13" t="str">
        <f t="shared" si="20"/>
        <v>00:11</v>
      </c>
      <c r="P138" s="4">
        <f t="shared" si="21"/>
        <v>3.8194444444444531E-2</v>
      </c>
      <c r="Q138" s="4">
        <f t="shared" si="22"/>
        <v>4.7916666666666607E-2</v>
      </c>
      <c r="R138" s="5" t="str">
        <f t="shared" si="23"/>
        <v>00:14</v>
      </c>
      <c r="S138" s="3">
        <v>35.799999999999997</v>
      </c>
      <c r="T138" s="18" t="str">
        <f t="shared" si="18"/>
        <v>Yes</v>
      </c>
    </row>
    <row r="139" spans="1:20" ht="18" x14ac:dyDescent="0.25">
      <c r="A139" s="21">
        <v>0.44444444444444442</v>
      </c>
      <c r="B139" s="14" t="s">
        <v>693</v>
      </c>
      <c r="C139" s="17" t="s">
        <v>694</v>
      </c>
      <c r="D139" s="17" t="s">
        <v>695</v>
      </c>
      <c r="E139" s="17" t="s">
        <v>696</v>
      </c>
      <c r="F139" s="21">
        <v>0.4861111111111111</v>
      </c>
      <c r="H139" s="21">
        <v>0.59375</v>
      </c>
      <c r="I139" s="14" t="s">
        <v>697</v>
      </c>
      <c r="J139" s="17" t="s">
        <v>694</v>
      </c>
      <c r="K139" s="17" t="s">
        <v>695</v>
      </c>
      <c r="L139" s="17" t="s">
        <v>696</v>
      </c>
      <c r="M139" s="25">
        <v>0.60486111111111118</v>
      </c>
      <c r="N139" s="13" t="str">
        <f t="shared" si="19"/>
        <v>01:00</v>
      </c>
      <c r="O139" s="13" t="str">
        <f t="shared" si="20"/>
        <v>00:16</v>
      </c>
      <c r="P139" s="4">
        <f t="shared" si="21"/>
        <v>0.14930555555555558</v>
      </c>
      <c r="Q139" s="4">
        <f t="shared" si="22"/>
        <v>0.11875000000000008</v>
      </c>
      <c r="R139" s="5" t="str">
        <f t="shared" si="23"/>
        <v>-00:44</v>
      </c>
      <c r="S139" s="3">
        <v>38.1</v>
      </c>
      <c r="T139" s="18" t="str">
        <f t="shared" si="18"/>
        <v>Yes</v>
      </c>
    </row>
    <row r="140" spans="1:20" ht="18" x14ac:dyDescent="0.25">
      <c r="A140" s="21">
        <v>0.36458333333333331</v>
      </c>
      <c r="B140" s="14" t="s">
        <v>698</v>
      </c>
      <c r="C140" s="17" t="s">
        <v>564</v>
      </c>
      <c r="D140" s="17" t="s">
        <v>699</v>
      </c>
      <c r="E140" s="17" t="s">
        <v>700</v>
      </c>
      <c r="F140" s="21">
        <v>0.36874999999999997</v>
      </c>
      <c r="H140" s="21">
        <v>0.44444444444444442</v>
      </c>
      <c r="I140" s="17" t="s">
        <v>701</v>
      </c>
      <c r="J140" s="17" t="s">
        <v>564</v>
      </c>
      <c r="K140" s="17" t="s">
        <v>699</v>
      </c>
      <c r="L140" s="17" t="s">
        <v>700</v>
      </c>
      <c r="M140" s="25">
        <v>0.45069444444444445</v>
      </c>
      <c r="N140" s="13" t="str">
        <f t="shared" si="19"/>
        <v>00:06</v>
      </c>
      <c r="O140" s="13" t="str">
        <f t="shared" si="20"/>
        <v>00:09</v>
      </c>
      <c r="P140" s="4">
        <f t="shared" si="21"/>
        <v>7.9861111111111105E-2</v>
      </c>
      <c r="Q140" s="4">
        <f t="shared" si="22"/>
        <v>8.1944444444444486E-2</v>
      </c>
      <c r="R140" s="5" t="str">
        <f t="shared" si="23"/>
        <v>00:03</v>
      </c>
      <c r="S140" s="3">
        <v>47.6</v>
      </c>
      <c r="T140" s="18" t="str">
        <f t="shared" si="18"/>
        <v>Yes</v>
      </c>
    </row>
    <row r="141" spans="1:20" ht="18" x14ac:dyDescent="0.25">
      <c r="A141" s="21">
        <v>0.28472222222222221</v>
      </c>
      <c r="B141" s="17" t="s">
        <v>702</v>
      </c>
      <c r="C141" s="17" t="s">
        <v>703</v>
      </c>
      <c r="D141" s="17" t="s">
        <v>704</v>
      </c>
      <c r="E141" s="17" t="s">
        <v>705</v>
      </c>
      <c r="F141" s="21">
        <v>0.28055555555555556</v>
      </c>
      <c r="H141" s="21">
        <v>0.36805555555555558</v>
      </c>
      <c r="I141" s="17" t="s">
        <v>702</v>
      </c>
      <c r="J141" s="17" t="s">
        <v>706</v>
      </c>
      <c r="K141" s="17" t="s">
        <v>704</v>
      </c>
      <c r="L141" s="17" t="s">
        <v>705</v>
      </c>
      <c r="M141" s="25">
        <v>0.37777777777777777</v>
      </c>
      <c r="N141" s="13" t="str">
        <f t="shared" si="19"/>
        <v>-00:06</v>
      </c>
      <c r="O141" s="13" t="str">
        <f t="shared" si="20"/>
        <v>00:14</v>
      </c>
      <c r="P141" s="4">
        <f t="shared" si="21"/>
        <v>8.333333333333337E-2</v>
      </c>
      <c r="Q141" s="4">
        <f t="shared" si="22"/>
        <v>9.722222222222221E-2</v>
      </c>
      <c r="R141" s="5" t="str">
        <f t="shared" si="23"/>
        <v>00:20</v>
      </c>
      <c r="S141" s="3">
        <v>64.8</v>
      </c>
      <c r="T141" s="18" t="str">
        <f t="shared" si="18"/>
        <v>No</v>
      </c>
    </row>
    <row r="142" spans="1:20" ht="18" x14ac:dyDescent="0.25">
      <c r="A142" s="21">
        <v>0.29166666666666669</v>
      </c>
      <c r="B142" s="17" t="s">
        <v>707</v>
      </c>
      <c r="C142" s="17" t="s">
        <v>708</v>
      </c>
      <c r="D142" s="17" t="s">
        <v>709</v>
      </c>
      <c r="E142" s="17" t="s">
        <v>710</v>
      </c>
      <c r="F142" s="21">
        <v>0.33888888888888885</v>
      </c>
      <c r="H142" s="21">
        <v>0.375</v>
      </c>
      <c r="I142" s="17" t="s">
        <v>711</v>
      </c>
      <c r="J142" s="17" t="s">
        <v>712</v>
      </c>
      <c r="K142" s="17" t="s">
        <v>709</v>
      </c>
      <c r="L142" s="17" t="s">
        <v>710</v>
      </c>
      <c r="M142" s="25">
        <v>0.43194444444444446</v>
      </c>
      <c r="N142" s="13" t="str">
        <f t="shared" si="19"/>
        <v>01:08</v>
      </c>
      <c r="O142" s="13" t="str">
        <f t="shared" si="20"/>
        <v>01:22</v>
      </c>
      <c r="P142" s="4">
        <f t="shared" si="21"/>
        <v>8.3333333333333315E-2</v>
      </c>
      <c r="Q142" s="4">
        <f t="shared" si="22"/>
        <v>9.3055555555555614E-2</v>
      </c>
      <c r="R142" s="5" t="str">
        <f t="shared" si="23"/>
        <v>00:14</v>
      </c>
      <c r="S142" s="3">
        <v>64.8</v>
      </c>
      <c r="T142" s="18" t="str">
        <f t="shared" si="18"/>
        <v>No</v>
      </c>
    </row>
    <row r="143" spans="1:20" ht="18" x14ac:dyDescent="0.25">
      <c r="A143" s="21">
        <v>0.2951388888888889</v>
      </c>
      <c r="B143" s="17" t="s">
        <v>713</v>
      </c>
      <c r="C143" s="17" t="s">
        <v>714</v>
      </c>
      <c r="D143" s="17" t="s">
        <v>233</v>
      </c>
      <c r="E143" s="17" t="s">
        <v>715</v>
      </c>
      <c r="F143" s="21">
        <v>0.27430555555555552</v>
      </c>
      <c r="H143" s="21">
        <v>0.37847222222222227</v>
      </c>
      <c r="I143" s="17" t="s">
        <v>713</v>
      </c>
      <c r="J143" s="17" t="s">
        <v>716</v>
      </c>
      <c r="K143" s="17" t="s">
        <v>233</v>
      </c>
      <c r="L143" s="17" t="s">
        <v>715</v>
      </c>
      <c r="M143" s="25">
        <v>0.3923611111111111</v>
      </c>
      <c r="N143" s="13" t="str">
        <f t="shared" si="19"/>
        <v>-00:30</v>
      </c>
      <c r="O143" s="13" t="str">
        <f t="shared" si="20"/>
        <v>00:20</v>
      </c>
      <c r="P143" s="4">
        <f t="shared" si="21"/>
        <v>8.333333333333337E-2</v>
      </c>
      <c r="Q143" s="4">
        <f t="shared" si="22"/>
        <v>0.11805555555555558</v>
      </c>
      <c r="R143" s="5" t="str">
        <f t="shared" si="23"/>
        <v>00:50</v>
      </c>
      <c r="S143" s="3">
        <v>64.8</v>
      </c>
      <c r="T143" s="18" t="str">
        <f t="shared" si="18"/>
        <v>No</v>
      </c>
    </row>
    <row r="144" spans="1:20" ht="18" x14ac:dyDescent="0.25">
      <c r="A144" s="21">
        <v>0.55555555555555558</v>
      </c>
      <c r="B144" s="14" t="s">
        <v>717</v>
      </c>
      <c r="C144" s="17" t="s">
        <v>718</v>
      </c>
      <c r="D144" s="17" t="s">
        <v>719</v>
      </c>
      <c r="E144" s="17" t="s">
        <v>720</v>
      </c>
      <c r="F144" s="21">
        <v>0.53472222222222221</v>
      </c>
      <c r="H144" s="21">
        <v>0.63888888888888895</v>
      </c>
      <c r="I144" s="14" t="s">
        <v>721</v>
      </c>
      <c r="J144" s="17" t="s">
        <v>718</v>
      </c>
      <c r="K144" s="17" t="s">
        <v>719</v>
      </c>
      <c r="L144" s="17" t="s">
        <v>720</v>
      </c>
      <c r="M144" s="25">
        <v>0.6479166666666667</v>
      </c>
      <c r="N144" s="13" t="str">
        <f t="shared" si="19"/>
        <v>-00:30</v>
      </c>
      <c r="O144" s="13" t="str">
        <f t="shared" si="20"/>
        <v>00:13</v>
      </c>
      <c r="P144" s="4">
        <f t="shared" si="21"/>
        <v>8.333333333333337E-2</v>
      </c>
      <c r="Q144" s="4">
        <f t="shared" si="22"/>
        <v>0.11319444444444449</v>
      </c>
      <c r="R144" s="5" t="str">
        <f t="shared" si="23"/>
        <v>00:43</v>
      </c>
      <c r="S144" s="3">
        <v>64.8</v>
      </c>
      <c r="T144" s="18" t="str">
        <f t="shared" si="18"/>
        <v>Yes</v>
      </c>
    </row>
    <row r="145" spans="1:20" ht="18" x14ac:dyDescent="0.25">
      <c r="A145" s="21">
        <v>0.80555555555555547</v>
      </c>
      <c r="B145" s="14" t="s">
        <v>722</v>
      </c>
      <c r="C145" s="17" t="s">
        <v>718</v>
      </c>
      <c r="D145" s="17" t="s">
        <v>719</v>
      </c>
      <c r="E145" s="17" t="s">
        <v>723</v>
      </c>
      <c r="F145" s="21">
        <v>0.80138888888888893</v>
      </c>
      <c r="H145" s="21">
        <v>0.90625</v>
      </c>
      <c r="I145" s="17" t="s">
        <v>724</v>
      </c>
      <c r="J145" s="17" t="s">
        <v>718</v>
      </c>
      <c r="K145" s="17" t="s">
        <v>719</v>
      </c>
      <c r="L145" s="17" t="s">
        <v>723</v>
      </c>
      <c r="M145" s="25">
        <v>0.90625</v>
      </c>
      <c r="N145" s="13" t="str">
        <f t="shared" si="19"/>
        <v>-00:06</v>
      </c>
      <c r="O145" s="13" t="str">
        <f t="shared" si="20"/>
        <v>00:00</v>
      </c>
      <c r="P145" s="4">
        <f t="shared" si="21"/>
        <v>0.10069444444444453</v>
      </c>
      <c r="Q145" s="4">
        <f t="shared" si="22"/>
        <v>0.10486111111111107</v>
      </c>
      <c r="R145" s="5" t="str">
        <f t="shared" si="23"/>
        <v>00:06</v>
      </c>
      <c r="S145" s="3">
        <v>64.8</v>
      </c>
      <c r="T145" s="18" t="str">
        <f t="shared" si="18"/>
        <v>Yes</v>
      </c>
    </row>
    <row r="146" spans="1:20" ht="18" x14ac:dyDescent="0.25">
      <c r="A146" s="21">
        <v>0.30208333333333331</v>
      </c>
      <c r="B146" s="17" t="s">
        <v>725</v>
      </c>
      <c r="C146" s="17" t="s">
        <v>575</v>
      </c>
      <c r="D146" s="17" t="s">
        <v>695</v>
      </c>
      <c r="E146" s="17" t="s">
        <v>726</v>
      </c>
      <c r="F146" s="21">
        <v>0.3743055555555555</v>
      </c>
      <c r="H146" s="21">
        <v>0.5</v>
      </c>
      <c r="I146" s="14" t="s">
        <v>727</v>
      </c>
      <c r="J146" s="17" t="s">
        <v>575</v>
      </c>
      <c r="K146" s="17" t="s">
        <v>695</v>
      </c>
      <c r="L146" s="17" t="s">
        <v>726</v>
      </c>
      <c r="M146" s="25">
        <v>0.50763888888888886</v>
      </c>
      <c r="N146" s="13" t="str">
        <f t="shared" si="19"/>
        <v>01:44</v>
      </c>
      <c r="O146" s="13" t="str">
        <f t="shared" si="20"/>
        <v>00:11</v>
      </c>
      <c r="P146" s="4">
        <f t="shared" si="21"/>
        <v>0.19791666666666669</v>
      </c>
      <c r="Q146" s="4">
        <f t="shared" si="22"/>
        <v>0.13333333333333336</v>
      </c>
      <c r="R146" s="5" t="str">
        <f t="shared" si="23"/>
        <v>-01:33</v>
      </c>
      <c r="S146" s="3">
        <v>64.8</v>
      </c>
      <c r="T146" s="18" t="str">
        <f t="shared" si="18"/>
        <v>Yes</v>
      </c>
    </row>
    <row r="147" spans="1:20" ht="18" x14ac:dyDescent="0.25">
      <c r="A147" s="21">
        <v>0.62152777777777779</v>
      </c>
      <c r="B147" s="14" t="s">
        <v>728</v>
      </c>
      <c r="C147" s="17" t="s">
        <v>706</v>
      </c>
      <c r="D147" s="17" t="s">
        <v>729</v>
      </c>
      <c r="E147" s="17" t="s">
        <v>730</v>
      </c>
      <c r="F147" s="21">
        <v>0.59722222222222221</v>
      </c>
      <c r="H147" s="21">
        <v>0.69097222222222221</v>
      </c>
      <c r="I147" s="14" t="s">
        <v>731</v>
      </c>
      <c r="J147" s="17" t="s">
        <v>706</v>
      </c>
      <c r="K147" s="17" t="s">
        <v>729</v>
      </c>
      <c r="L147" s="17" t="s">
        <v>730</v>
      </c>
      <c r="M147" s="25">
        <v>0.69097222222222221</v>
      </c>
      <c r="N147" s="13" t="str">
        <f t="shared" si="19"/>
        <v>-00:35</v>
      </c>
      <c r="O147" s="13" t="str">
        <f t="shared" si="20"/>
        <v>00:00</v>
      </c>
      <c r="P147" s="4">
        <f t="shared" si="21"/>
        <v>6.944444444444442E-2</v>
      </c>
      <c r="Q147" s="4">
        <f t="shared" si="22"/>
        <v>9.375E-2</v>
      </c>
      <c r="R147" s="5" t="str">
        <f t="shared" si="23"/>
        <v>00:35</v>
      </c>
      <c r="S147" s="3">
        <v>60.1</v>
      </c>
      <c r="T147" s="18" t="str">
        <f t="shared" si="18"/>
        <v>Yes</v>
      </c>
    </row>
    <row r="148" spans="1:20" ht="18" x14ac:dyDescent="0.25">
      <c r="A148" s="21">
        <v>0.44791666666666669</v>
      </c>
      <c r="B148" s="17" t="s">
        <v>732</v>
      </c>
      <c r="C148" s="17" t="s">
        <v>733</v>
      </c>
      <c r="D148" s="17" t="s">
        <v>595</v>
      </c>
      <c r="E148" s="17" t="s">
        <v>734</v>
      </c>
      <c r="F148" s="21">
        <v>0.43124999999999997</v>
      </c>
      <c r="H148" s="21">
        <v>0.56944444444444442</v>
      </c>
      <c r="I148" s="17" t="s">
        <v>735</v>
      </c>
      <c r="J148" s="17" t="s">
        <v>736</v>
      </c>
      <c r="K148" s="17" t="s">
        <v>595</v>
      </c>
      <c r="L148" s="17" t="s">
        <v>734</v>
      </c>
      <c r="M148" s="25">
        <v>0.57916666666666672</v>
      </c>
      <c r="N148" s="13" t="str">
        <f t="shared" si="19"/>
        <v>-00:24</v>
      </c>
      <c r="O148" s="13" t="str">
        <f t="shared" si="20"/>
        <v>00:14</v>
      </c>
      <c r="P148" s="4">
        <f t="shared" si="21"/>
        <v>0.12152777777777773</v>
      </c>
      <c r="Q148" s="4">
        <f t="shared" si="22"/>
        <v>0.14791666666666675</v>
      </c>
      <c r="R148" s="5" t="str">
        <f t="shared" si="23"/>
        <v>00:38</v>
      </c>
      <c r="S148" s="3">
        <v>60.1</v>
      </c>
      <c r="T148" s="18" t="str">
        <f t="shared" si="18"/>
        <v>No</v>
      </c>
    </row>
    <row r="149" spans="1:20" ht="18" x14ac:dyDescent="0.25">
      <c r="A149" s="21">
        <v>0.3125</v>
      </c>
      <c r="B149" s="17" t="s">
        <v>737</v>
      </c>
      <c r="C149" s="17" t="s">
        <v>738</v>
      </c>
      <c r="D149" s="17" t="s">
        <v>739</v>
      </c>
      <c r="E149" s="17" t="s">
        <v>740</v>
      </c>
      <c r="F149" s="21">
        <v>0.28750000000000003</v>
      </c>
      <c r="H149" s="21">
        <v>0.4513888888888889</v>
      </c>
      <c r="I149" s="17" t="s">
        <v>741</v>
      </c>
      <c r="J149" s="17" t="s">
        <v>738</v>
      </c>
      <c r="K149" s="17" t="s">
        <v>739</v>
      </c>
      <c r="L149" s="17" t="s">
        <v>740</v>
      </c>
      <c r="M149" s="25">
        <v>0.4604166666666667</v>
      </c>
      <c r="N149" s="13" t="str">
        <f t="shared" si="19"/>
        <v>-00:36</v>
      </c>
      <c r="O149" s="13" t="str">
        <f t="shared" si="20"/>
        <v>00:13</v>
      </c>
      <c r="P149" s="4">
        <f t="shared" si="21"/>
        <v>0.1388888888888889</v>
      </c>
      <c r="Q149" s="4">
        <f t="shared" si="22"/>
        <v>0.17291666666666666</v>
      </c>
      <c r="R149" s="5" t="str">
        <f t="shared" si="23"/>
        <v>00:49</v>
      </c>
      <c r="S149" s="3">
        <v>60.1</v>
      </c>
      <c r="T149" s="18" t="str">
        <f t="shared" si="18"/>
        <v>Yes</v>
      </c>
    </row>
    <row r="150" spans="1:20" ht="18" x14ac:dyDescent="0.25">
      <c r="A150" s="21">
        <v>0.33333333333333331</v>
      </c>
      <c r="B150" s="17" t="s">
        <v>742</v>
      </c>
      <c r="C150" s="17" t="s">
        <v>743</v>
      </c>
      <c r="D150" s="17" t="s">
        <v>744</v>
      </c>
      <c r="E150" s="17" t="s">
        <v>745</v>
      </c>
      <c r="F150" s="21">
        <v>0.30555555555555552</v>
      </c>
      <c r="H150" s="21">
        <v>0.47569444444444442</v>
      </c>
      <c r="I150" s="17" t="s">
        <v>746</v>
      </c>
      <c r="J150" s="17" t="s">
        <v>743</v>
      </c>
      <c r="K150" s="17" t="s">
        <v>744</v>
      </c>
      <c r="L150" s="17" t="s">
        <v>745</v>
      </c>
      <c r="M150" s="25">
        <v>0.48194444444444445</v>
      </c>
      <c r="N150" s="13" t="str">
        <f t="shared" si="19"/>
        <v>-00:40</v>
      </c>
      <c r="O150" s="13" t="str">
        <f t="shared" si="20"/>
        <v>00:09</v>
      </c>
      <c r="P150" s="4">
        <f t="shared" si="21"/>
        <v>0.1423611111111111</v>
      </c>
      <c r="Q150" s="4">
        <f t="shared" si="22"/>
        <v>0.17638888888888893</v>
      </c>
      <c r="R150" s="5" t="str">
        <f t="shared" si="23"/>
        <v>00:49</v>
      </c>
      <c r="S150" s="3">
        <v>60.1</v>
      </c>
      <c r="T150" s="18" t="str">
        <f t="shared" si="18"/>
        <v>Yes</v>
      </c>
    </row>
    <row r="151" spans="1:20" ht="18" x14ac:dyDescent="0.25">
      <c r="A151" s="21">
        <v>0.28472222222222221</v>
      </c>
      <c r="B151" s="17" t="s">
        <v>747</v>
      </c>
      <c r="C151" s="17" t="s">
        <v>748</v>
      </c>
      <c r="D151" s="17" t="s">
        <v>744</v>
      </c>
      <c r="E151" s="17" t="s">
        <v>749</v>
      </c>
      <c r="F151" s="21">
        <v>0.27916666666666667</v>
      </c>
      <c r="H151" s="21">
        <v>0.55555555555555558</v>
      </c>
      <c r="I151" s="17" t="s">
        <v>750</v>
      </c>
      <c r="J151" s="17" t="s">
        <v>748</v>
      </c>
      <c r="K151" s="17" t="s">
        <v>744</v>
      </c>
      <c r="L151" s="17" t="s">
        <v>749</v>
      </c>
      <c r="M151" s="25">
        <v>0.56319444444444444</v>
      </c>
      <c r="N151" s="13" t="str">
        <f t="shared" si="19"/>
        <v>-00:08</v>
      </c>
      <c r="O151" s="13" t="str">
        <f t="shared" si="20"/>
        <v>00:11</v>
      </c>
      <c r="P151" s="4">
        <f t="shared" si="21"/>
        <v>0.27083333333333337</v>
      </c>
      <c r="Q151" s="4">
        <f t="shared" si="22"/>
        <v>0.28402777777777777</v>
      </c>
      <c r="R151" s="5" t="str">
        <f t="shared" si="23"/>
        <v>00:19</v>
      </c>
      <c r="S151" s="3">
        <v>60.1</v>
      </c>
      <c r="T151" s="18" t="str">
        <f t="shared" si="18"/>
        <v>Yes</v>
      </c>
    </row>
    <row r="152" spans="1:20" ht="18" x14ac:dyDescent="0.25">
      <c r="A152" s="21">
        <v>0.32291666666666669</v>
      </c>
      <c r="B152" s="17" t="s">
        <v>751</v>
      </c>
      <c r="C152" s="17" t="s">
        <v>752</v>
      </c>
      <c r="D152" s="17" t="s">
        <v>557</v>
      </c>
      <c r="E152" s="17" t="s">
        <v>753</v>
      </c>
      <c r="F152" s="21">
        <v>0.31805555555555554</v>
      </c>
      <c r="H152" s="21">
        <v>0.39583333333333331</v>
      </c>
      <c r="I152" s="17" t="s">
        <v>754</v>
      </c>
      <c r="J152" s="17" t="s">
        <v>752</v>
      </c>
      <c r="K152" s="17" t="s">
        <v>557</v>
      </c>
      <c r="L152" s="17" t="s">
        <v>753</v>
      </c>
      <c r="M152" s="25">
        <v>0.40763888888888888</v>
      </c>
      <c r="N152" s="13" t="str">
        <f t="shared" si="19"/>
        <v>-00:07</v>
      </c>
      <c r="O152" s="13" t="str">
        <f t="shared" si="20"/>
        <v>00:17</v>
      </c>
      <c r="P152" s="4">
        <f t="shared" si="21"/>
        <v>7.291666666666663E-2</v>
      </c>
      <c r="Q152" s="4">
        <f t="shared" si="22"/>
        <v>8.9583333333333348E-2</v>
      </c>
      <c r="R152" s="5" t="str">
        <f t="shared" si="23"/>
        <v>00:24</v>
      </c>
      <c r="S152" s="3">
        <v>60.1</v>
      </c>
      <c r="T152" s="18" t="str">
        <f t="shared" ref="T152:T173" si="24">IF(C152=J152, "Yes", "No")</f>
        <v>Yes</v>
      </c>
    </row>
    <row r="153" spans="1:20" ht="18" x14ac:dyDescent="0.25">
      <c r="A153" s="21">
        <v>0.32291666666666669</v>
      </c>
      <c r="B153" s="17" t="s">
        <v>755</v>
      </c>
      <c r="C153" s="17" t="s">
        <v>694</v>
      </c>
      <c r="D153" s="17" t="s">
        <v>695</v>
      </c>
      <c r="E153" s="17" t="s">
        <v>756</v>
      </c>
      <c r="F153" s="21">
        <v>0.32083333333333336</v>
      </c>
      <c r="H153" s="21">
        <v>0.42708333333333331</v>
      </c>
      <c r="I153" s="17" t="s">
        <v>757</v>
      </c>
      <c r="J153" s="17" t="s">
        <v>703</v>
      </c>
      <c r="K153" s="17" t="s">
        <v>695</v>
      </c>
      <c r="L153" s="17" t="s">
        <v>756</v>
      </c>
      <c r="M153" s="25">
        <v>0.43402777777777773</v>
      </c>
      <c r="N153" s="13" t="str">
        <f t="shared" si="19"/>
        <v>-00:03</v>
      </c>
      <c r="O153" s="13" t="str">
        <f t="shared" si="20"/>
        <v>00:10</v>
      </c>
      <c r="P153" s="4">
        <f t="shared" si="21"/>
        <v>0.10416666666666663</v>
      </c>
      <c r="Q153" s="4">
        <f t="shared" si="22"/>
        <v>0.11319444444444438</v>
      </c>
      <c r="R153" s="5" t="str">
        <f t="shared" si="23"/>
        <v>00:13</v>
      </c>
      <c r="S153" s="3">
        <v>60.1</v>
      </c>
      <c r="T153" s="18" t="str">
        <f t="shared" si="24"/>
        <v>No</v>
      </c>
    </row>
    <row r="154" spans="1:20" ht="18" x14ac:dyDescent="0.25">
      <c r="A154" s="21">
        <v>0.375</v>
      </c>
      <c r="B154" s="14" t="s">
        <v>758</v>
      </c>
      <c r="C154" s="17" t="s">
        <v>703</v>
      </c>
      <c r="D154" s="17" t="s">
        <v>695</v>
      </c>
      <c r="E154" s="17" t="s">
        <v>759</v>
      </c>
      <c r="F154" s="21">
        <v>0.3756944444444445</v>
      </c>
      <c r="H154" s="21">
        <v>0.46875</v>
      </c>
      <c r="I154" s="17" t="s">
        <v>760</v>
      </c>
      <c r="J154" s="17" t="s">
        <v>694</v>
      </c>
      <c r="K154" s="17" t="s">
        <v>695</v>
      </c>
      <c r="L154" s="17" t="s">
        <v>759</v>
      </c>
      <c r="M154" s="25">
        <v>0.47569444444444442</v>
      </c>
      <c r="N154" s="13" t="str">
        <f t="shared" si="19"/>
        <v>00:01</v>
      </c>
      <c r="O154" s="13" t="str">
        <f t="shared" si="20"/>
        <v>00:10</v>
      </c>
      <c r="P154" s="4">
        <f t="shared" si="21"/>
        <v>9.375E-2</v>
      </c>
      <c r="Q154" s="4">
        <f t="shared" si="22"/>
        <v>9.9999999999999922E-2</v>
      </c>
      <c r="R154" s="5" t="str">
        <f t="shared" si="23"/>
        <v>00:09</v>
      </c>
      <c r="S154" s="3">
        <v>60.1</v>
      </c>
      <c r="T154" s="18" t="str">
        <f t="shared" si="24"/>
        <v>No</v>
      </c>
    </row>
    <row r="155" spans="1:20" ht="18" x14ac:dyDescent="0.25">
      <c r="A155" s="21">
        <v>0.59722222222222221</v>
      </c>
      <c r="B155" s="14" t="s">
        <v>761</v>
      </c>
      <c r="C155" s="17" t="s">
        <v>429</v>
      </c>
      <c r="D155" s="17" t="s">
        <v>430</v>
      </c>
      <c r="E155" s="17" t="s">
        <v>762</v>
      </c>
      <c r="F155" s="21">
        <v>0.60138888888888886</v>
      </c>
      <c r="H155" s="21">
        <v>0.625</v>
      </c>
      <c r="I155" s="14" t="s">
        <v>763</v>
      </c>
      <c r="J155" s="17" t="s">
        <v>429</v>
      </c>
      <c r="K155" s="17" t="s">
        <v>430</v>
      </c>
      <c r="L155" s="17" t="s">
        <v>762</v>
      </c>
      <c r="M155" s="25">
        <v>0.63541666666666663</v>
      </c>
      <c r="N155" s="13" t="str">
        <f t="shared" si="19"/>
        <v>00:06</v>
      </c>
      <c r="O155" s="13" t="str">
        <f t="shared" si="20"/>
        <v>00:15</v>
      </c>
      <c r="P155" s="4">
        <f t="shared" si="21"/>
        <v>2.777777777777779E-2</v>
      </c>
      <c r="Q155" s="4">
        <f t="shared" si="22"/>
        <v>3.4027777777777768E-2</v>
      </c>
      <c r="R155" s="5" t="str">
        <f t="shared" si="23"/>
        <v>00:09</v>
      </c>
      <c r="S155" s="3">
        <v>35.1</v>
      </c>
      <c r="T155" s="18" t="str">
        <f t="shared" si="24"/>
        <v>Yes</v>
      </c>
    </row>
    <row r="156" spans="1:20" ht="18" x14ac:dyDescent="0.25">
      <c r="A156" s="21">
        <v>0.61458333333333337</v>
      </c>
      <c r="B156" s="17" t="s">
        <v>764</v>
      </c>
      <c r="C156" s="17" t="s">
        <v>260</v>
      </c>
      <c r="D156" s="17" t="s">
        <v>219</v>
      </c>
      <c r="E156" s="17" t="s">
        <v>765</v>
      </c>
      <c r="F156" s="21">
        <v>0.60902777777777783</v>
      </c>
      <c r="H156" s="21">
        <v>0.64930555555555558</v>
      </c>
      <c r="I156" s="17" t="s">
        <v>766</v>
      </c>
      <c r="J156" s="17" t="s">
        <v>260</v>
      </c>
      <c r="K156" s="17" t="s">
        <v>219</v>
      </c>
      <c r="L156" s="17" t="s">
        <v>765</v>
      </c>
      <c r="M156" s="25">
        <v>0.64930555555555558</v>
      </c>
      <c r="N156" s="13" t="str">
        <f t="shared" si="19"/>
        <v>-00:08</v>
      </c>
      <c r="O156" s="13" t="str">
        <f t="shared" si="20"/>
        <v>00:00</v>
      </c>
      <c r="P156" s="4">
        <f t="shared" si="21"/>
        <v>3.472222222222221E-2</v>
      </c>
      <c r="Q156" s="4">
        <f t="shared" si="22"/>
        <v>4.0277777777777746E-2</v>
      </c>
      <c r="R156" s="5" t="str">
        <f t="shared" si="23"/>
        <v>00:08</v>
      </c>
      <c r="S156" s="3">
        <v>35.1</v>
      </c>
      <c r="T156" s="18" t="str">
        <f t="shared" si="24"/>
        <v>Yes</v>
      </c>
    </row>
    <row r="157" spans="1:20" ht="18" x14ac:dyDescent="0.25">
      <c r="A157" s="21">
        <v>0.33680555555555558</v>
      </c>
      <c r="B157" s="17" t="s">
        <v>767</v>
      </c>
      <c r="C157" s="17" t="s">
        <v>285</v>
      </c>
      <c r="D157" s="17" t="s">
        <v>430</v>
      </c>
      <c r="E157" s="17" t="s">
        <v>768</v>
      </c>
      <c r="F157" s="21">
        <v>0.3263888888888889</v>
      </c>
      <c r="H157" s="21">
        <v>0.36805555555555558</v>
      </c>
      <c r="I157" s="17" t="s">
        <v>769</v>
      </c>
      <c r="J157" s="17" t="s">
        <v>285</v>
      </c>
      <c r="K157" s="17" t="s">
        <v>430</v>
      </c>
      <c r="L157" s="17" t="s">
        <v>768</v>
      </c>
      <c r="M157" s="25">
        <v>0.37916666666666665</v>
      </c>
      <c r="N157" s="13" t="str">
        <f t="shared" si="19"/>
        <v>-00:15</v>
      </c>
      <c r="O157" s="13" t="str">
        <f t="shared" si="20"/>
        <v>00:16</v>
      </c>
      <c r="P157" s="4">
        <f t="shared" si="21"/>
        <v>3.125E-2</v>
      </c>
      <c r="Q157" s="4">
        <f t="shared" si="22"/>
        <v>5.2777777777777757E-2</v>
      </c>
      <c r="R157" s="5" t="str">
        <f t="shared" si="23"/>
        <v>00:31</v>
      </c>
      <c r="S157" s="3">
        <v>35.1</v>
      </c>
      <c r="T157" s="18" t="str">
        <f t="shared" si="24"/>
        <v>Yes</v>
      </c>
    </row>
    <row r="158" spans="1:20" ht="18" x14ac:dyDescent="0.25">
      <c r="A158" s="21">
        <v>0.37152777777777773</v>
      </c>
      <c r="B158" s="14" t="s">
        <v>770</v>
      </c>
      <c r="C158" s="17" t="s">
        <v>771</v>
      </c>
      <c r="D158" s="17" t="s">
        <v>772</v>
      </c>
      <c r="E158" s="17" t="s">
        <v>773</v>
      </c>
      <c r="F158" s="21">
        <v>0.36388888888888887</v>
      </c>
      <c r="H158" s="21">
        <v>0.40277777777777773</v>
      </c>
      <c r="I158" s="14" t="s">
        <v>774</v>
      </c>
      <c r="J158" s="17" t="s">
        <v>771</v>
      </c>
      <c r="K158" s="17" t="s">
        <v>772</v>
      </c>
      <c r="L158" s="17" t="s">
        <v>773</v>
      </c>
      <c r="M158" s="25">
        <v>0.41041666666666665</v>
      </c>
      <c r="N158" s="13" t="str">
        <f t="shared" si="19"/>
        <v>-00:11</v>
      </c>
      <c r="O158" s="13" t="str">
        <f t="shared" si="20"/>
        <v>00:11</v>
      </c>
      <c r="P158" s="4">
        <f t="shared" si="21"/>
        <v>3.125E-2</v>
      </c>
      <c r="Q158" s="4">
        <f t="shared" si="22"/>
        <v>4.6527777777777779E-2</v>
      </c>
      <c r="R158" s="5" t="str">
        <f t="shared" si="23"/>
        <v>00:22</v>
      </c>
      <c r="S158" s="3">
        <v>35.1</v>
      </c>
      <c r="T158" s="18" t="str">
        <f t="shared" si="24"/>
        <v>Yes</v>
      </c>
    </row>
    <row r="159" spans="1:20" ht="18" x14ac:dyDescent="0.25">
      <c r="A159" s="21">
        <v>0.375</v>
      </c>
      <c r="B159" s="14" t="s">
        <v>775</v>
      </c>
      <c r="C159" s="17" t="s">
        <v>776</v>
      </c>
      <c r="D159" s="17" t="s">
        <v>772</v>
      </c>
      <c r="E159" s="17" t="s">
        <v>777</v>
      </c>
      <c r="F159" s="21">
        <v>0.36180555555555555</v>
      </c>
      <c r="H159" s="21">
        <v>0.40277777777777773</v>
      </c>
      <c r="I159" s="14" t="s">
        <v>778</v>
      </c>
      <c r="J159" s="17" t="s">
        <v>776</v>
      </c>
      <c r="K159" s="17" t="s">
        <v>772</v>
      </c>
      <c r="L159" s="17" t="s">
        <v>777</v>
      </c>
      <c r="M159" s="25">
        <v>0.41388888888888892</v>
      </c>
      <c r="N159" s="13" t="str">
        <f t="shared" si="19"/>
        <v>-00:19</v>
      </c>
      <c r="O159" s="13" t="str">
        <f t="shared" si="20"/>
        <v>00:16</v>
      </c>
      <c r="P159" s="4">
        <f t="shared" si="21"/>
        <v>2.7777777777777735E-2</v>
      </c>
      <c r="Q159" s="4">
        <f t="shared" si="22"/>
        <v>5.208333333333337E-2</v>
      </c>
      <c r="R159" s="5" t="str">
        <f t="shared" si="23"/>
        <v>00:35</v>
      </c>
      <c r="S159" s="3">
        <v>35.1</v>
      </c>
      <c r="T159" s="18" t="str">
        <f t="shared" si="24"/>
        <v>Yes</v>
      </c>
    </row>
    <row r="160" spans="1:20" ht="18" x14ac:dyDescent="0.25">
      <c r="A160" s="21">
        <v>0.62638888888888888</v>
      </c>
      <c r="B160" s="17"/>
      <c r="C160" s="17" t="s">
        <v>429</v>
      </c>
      <c r="D160" s="17" t="s">
        <v>779</v>
      </c>
      <c r="E160" s="17" t="s">
        <v>780</v>
      </c>
      <c r="F160" s="21">
        <v>0.63611111111111118</v>
      </c>
      <c r="H160" s="21">
        <v>0.72916666666666663</v>
      </c>
      <c r="I160" s="17"/>
      <c r="J160" s="17" t="s">
        <v>781</v>
      </c>
      <c r="K160" s="17" t="s">
        <v>779</v>
      </c>
      <c r="L160" s="17" t="s">
        <v>780</v>
      </c>
      <c r="M160" s="25">
        <v>0.73611111111111116</v>
      </c>
      <c r="N160" s="13" t="str">
        <f t="shared" si="19"/>
        <v>00:14</v>
      </c>
      <c r="O160" s="13" t="str">
        <f t="shared" si="20"/>
        <v>00:10</v>
      </c>
      <c r="P160" s="4">
        <f t="shared" si="21"/>
        <v>0.10277777777777775</v>
      </c>
      <c r="Q160" s="4">
        <f t="shared" si="22"/>
        <v>9.9999999999999978E-2</v>
      </c>
      <c r="R160" s="5" t="str">
        <f t="shared" si="23"/>
        <v>-00:04</v>
      </c>
      <c r="S160" s="3">
        <v>13.2</v>
      </c>
      <c r="T160" s="18" t="str">
        <f t="shared" si="24"/>
        <v>No</v>
      </c>
    </row>
    <row r="161" spans="1:20" ht="18" x14ac:dyDescent="0.25">
      <c r="A161" s="21">
        <v>0.26874999999999999</v>
      </c>
      <c r="B161" s="17"/>
      <c r="C161" s="17" t="s">
        <v>183</v>
      </c>
      <c r="D161" s="15" t="s">
        <v>782</v>
      </c>
      <c r="E161" s="17" t="s">
        <v>783</v>
      </c>
      <c r="F161" s="21">
        <v>0.27777777777777779</v>
      </c>
      <c r="H161" s="21">
        <v>0.42708333333333331</v>
      </c>
      <c r="I161" s="17"/>
      <c r="J161" s="17" t="s">
        <v>183</v>
      </c>
      <c r="K161" s="15" t="s">
        <v>782</v>
      </c>
      <c r="L161" s="17" t="s">
        <v>783</v>
      </c>
      <c r="M161" s="25">
        <v>0.4375</v>
      </c>
      <c r="N161" s="13" t="str">
        <f t="shared" si="19"/>
        <v>00:13</v>
      </c>
      <c r="O161" s="13" t="str">
        <f t="shared" si="20"/>
        <v>00:15</v>
      </c>
      <c r="P161" s="4">
        <f t="shared" si="21"/>
        <v>0.15833333333333333</v>
      </c>
      <c r="Q161" s="4">
        <f t="shared" si="22"/>
        <v>0.15972222222222221</v>
      </c>
      <c r="R161" s="5" t="str">
        <f t="shared" si="23"/>
        <v>00:02</v>
      </c>
      <c r="S161" s="3">
        <v>17.2</v>
      </c>
      <c r="T161" s="18" t="str">
        <f t="shared" si="24"/>
        <v>Yes</v>
      </c>
    </row>
    <row r="162" spans="1:20" ht="18" x14ac:dyDescent="0.25">
      <c r="A162" s="21">
        <v>0.37152777777777773</v>
      </c>
      <c r="B162" s="17"/>
      <c r="C162" s="17" t="s">
        <v>784</v>
      </c>
      <c r="D162" s="15" t="s">
        <v>782</v>
      </c>
      <c r="E162" s="17" t="s">
        <v>785</v>
      </c>
      <c r="F162" s="21">
        <v>0.36736111111111108</v>
      </c>
      <c r="H162" s="21">
        <v>0.54166666666666663</v>
      </c>
      <c r="I162" s="17"/>
      <c r="J162" s="17" t="s">
        <v>784</v>
      </c>
      <c r="K162" s="15" t="s">
        <v>782</v>
      </c>
      <c r="L162" s="17" t="s">
        <v>785</v>
      </c>
      <c r="M162" s="25">
        <v>0.54375000000000007</v>
      </c>
      <c r="N162" s="13" t="str">
        <f t="shared" si="19"/>
        <v>-00:06</v>
      </c>
      <c r="O162" s="13" t="str">
        <f t="shared" si="20"/>
        <v>00:03</v>
      </c>
      <c r="P162" s="4">
        <f t="shared" si="21"/>
        <v>0.1701388888888889</v>
      </c>
      <c r="Q162" s="4">
        <f t="shared" si="22"/>
        <v>0.17638888888888898</v>
      </c>
      <c r="R162" s="5" t="str">
        <f t="shared" si="23"/>
        <v>00:09</v>
      </c>
      <c r="S162" s="3">
        <v>22</v>
      </c>
      <c r="T162" s="18" t="str">
        <f t="shared" si="24"/>
        <v>Yes</v>
      </c>
    </row>
    <row r="163" spans="1:20" ht="18" x14ac:dyDescent="0.25">
      <c r="A163" s="21">
        <v>0.51041666666666663</v>
      </c>
      <c r="B163" s="14" t="s">
        <v>786</v>
      </c>
      <c r="C163" s="17" t="s">
        <v>245</v>
      </c>
      <c r="D163" s="17" t="s">
        <v>246</v>
      </c>
      <c r="E163" s="17" t="s">
        <v>787</v>
      </c>
      <c r="F163" s="21">
        <v>0.52847222222222223</v>
      </c>
      <c r="H163" s="21">
        <v>0.53819444444444442</v>
      </c>
      <c r="I163" s="14" t="s">
        <v>788</v>
      </c>
      <c r="J163" s="17" t="s">
        <v>245</v>
      </c>
      <c r="K163" s="17" t="s">
        <v>246</v>
      </c>
      <c r="L163" s="17" t="s">
        <v>787</v>
      </c>
      <c r="M163" s="25">
        <v>0.57013888888888886</v>
      </c>
      <c r="N163" s="13" t="str">
        <f t="shared" si="19"/>
        <v>00:26</v>
      </c>
      <c r="O163" s="13" t="str">
        <f t="shared" si="20"/>
        <v>00:46</v>
      </c>
      <c r="P163" s="4">
        <f t="shared" si="21"/>
        <v>2.777777777777779E-2</v>
      </c>
      <c r="Q163" s="4">
        <f t="shared" si="22"/>
        <v>4.166666666666663E-2</v>
      </c>
      <c r="R163" s="5" t="str">
        <f t="shared" si="23"/>
        <v>00:20</v>
      </c>
      <c r="S163" s="3">
        <v>24.9</v>
      </c>
      <c r="T163" s="18" t="str">
        <f t="shared" si="24"/>
        <v>Yes</v>
      </c>
    </row>
    <row r="164" spans="1:20" ht="18" x14ac:dyDescent="0.25">
      <c r="A164" s="21">
        <v>0.3611111111111111</v>
      </c>
      <c r="B164" s="14" t="s">
        <v>789</v>
      </c>
      <c r="C164" s="17" t="s">
        <v>790</v>
      </c>
      <c r="D164" s="17" t="s">
        <v>791</v>
      </c>
      <c r="E164" s="17" t="s">
        <v>792</v>
      </c>
      <c r="F164" s="21">
        <v>0.34930555555555554</v>
      </c>
      <c r="H164" s="21">
        <v>0.3888888888888889</v>
      </c>
      <c r="I164" s="17" t="s">
        <v>793</v>
      </c>
      <c r="J164" s="17" t="s">
        <v>790</v>
      </c>
      <c r="K164" s="17" t="s">
        <v>791</v>
      </c>
      <c r="L164" s="17" t="s">
        <v>792</v>
      </c>
      <c r="M164" s="25">
        <v>0.39513888888888887</v>
      </c>
      <c r="N164" s="13" t="str">
        <f t="shared" si="19"/>
        <v>-00:17</v>
      </c>
      <c r="O164" s="13" t="str">
        <f t="shared" si="20"/>
        <v>00:09</v>
      </c>
      <c r="P164" s="4">
        <f t="shared" si="21"/>
        <v>2.777777777777779E-2</v>
      </c>
      <c r="Q164" s="4">
        <f t="shared" si="22"/>
        <v>4.5833333333333337E-2</v>
      </c>
      <c r="R164" s="5" t="str">
        <f t="shared" si="23"/>
        <v>00:26</v>
      </c>
      <c r="S164" s="3">
        <v>28.4</v>
      </c>
      <c r="T164" s="18" t="str">
        <f t="shared" si="24"/>
        <v>Yes</v>
      </c>
    </row>
    <row r="165" spans="1:20" ht="18" x14ac:dyDescent="0.25">
      <c r="A165" s="21">
        <v>0.52083333333333337</v>
      </c>
      <c r="B165" s="14" t="s">
        <v>794</v>
      </c>
      <c r="C165" s="17" t="s">
        <v>253</v>
      </c>
      <c r="D165" s="17" t="s">
        <v>246</v>
      </c>
      <c r="E165" s="17" t="s">
        <v>795</v>
      </c>
      <c r="F165" s="21">
        <v>0.51597222222222217</v>
      </c>
      <c r="H165" s="21">
        <v>0.55208333333333337</v>
      </c>
      <c r="I165" s="14" t="s">
        <v>796</v>
      </c>
      <c r="J165" s="17" t="s">
        <v>253</v>
      </c>
      <c r="K165" s="17" t="s">
        <v>246</v>
      </c>
      <c r="L165" s="17" t="s">
        <v>795</v>
      </c>
      <c r="M165" s="25">
        <v>0.56111111111111112</v>
      </c>
      <c r="N165" s="13" t="str">
        <f t="shared" si="19"/>
        <v>-00:07</v>
      </c>
      <c r="O165" s="13" t="str">
        <f t="shared" si="20"/>
        <v>00:13</v>
      </c>
      <c r="P165" s="4">
        <f t="shared" si="21"/>
        <v>3.125E-2</v>
      </c>
      <c r="Q165" s="4">
        <f t="shared" si="22"/>
        <v>4.5138888888888951E-2</v>
      </c>
      <c r="R165" s="5" t="str">
        <f t="shared" si="23"/>
        <v>00:20</v>
      </c>
      <c r="S165" s="3">
        <v>28.7</v>
      </c>
      <c r="T165" s="18" t="str">
        <f t="shared" si="24"/>
        <v>Yes</v>
      </c>
    </row>
    <row r="166" spans="1:20" ht="18" x14ac:dyDescent="0.25">
      <c r="A166" s="21">
        <v>0.40277777777777773</v>
      </c>
      <c r="B166" s="17" t="s">
        <v>797</v>
      </c>
      <c r="C166" s="17" t="s">
        <v>798</v>
      </c>
      <c r="D166" s="17" t="s">
        <v>799</v>
      </c>
      <c r="E166" s="17" t="s">
        <v>800</v>
      </c>
      <c r="F166" s="21">
        <v>0.40486111111111112</v>
      </c>
      <c r="H166" s="21">
        <v>0.43402777777777773</v>
      </c>
      <c r="I166" s="17" t="s">
        <v>801</v>
      </c>
      <c r="J166" s="17" t="s">
        <v>798</v>
      </c>
      <c r="K166" s="17" t="s">
        <v>799</v>
      </c>
      <c r="L166" s="17" t="s">
        <v>800</v>
      </c>
      <c r="M166" s="25">
        <v>0.44444444444444442</v>
      </c>
      <c r="N166" s="13" t="str">
        <f t="shared" si="19"/>
        <v>00:03</v>
      </c>
      <c r="O166" s="13" t="str">
        <f t="shared" si="20"/>
        <v>00:15</v>
      </c>
      <c r="P166" s="4">
        <f t="shared" si="21"/>
        <v>3.125E-2</v>
      </c>
      <c r="Q166" s="4">
        <f t="shared" si="22"/>
        <v>3.9583333333333304E-2</v>
      </c>
      <c r="R166" s="5" t="str">
        <f t="shared" si="23"/>
        <v>00:12</v>
      </c>
      <c r="S166" s="3">
        <v>28.7</v>
      </c>
      <c r="T166" s="18" t="str">
        <f t="shared" si="24"/>
        <v>Yes</v>
      </c>
    </row>
    <row r="167" spans="1:20" ht="18" x14ac:dyDescent="0.25">
      <c r="A167" s="21">
        <v>0.40972222222222227</v>
      </c>
      <c r="B167" s="17" t="s">
        <v>802</v>
      </c>
      <c r="C167" s="17" t="s">
        <v>179</v>
      </c>
      <c r="D167" s="17" t="s">
        <v>175</v>
      </c>
      <c r="E167" s="17" t="s">
        <v>803</v>
      </c>
      <c r="F167" s="21">
        <v>0.40277777777777773</v>
      </c>
      <c r="H167" s="21">
        <v>0.4375</v>
      </c>
      <c r="I167" s="17" t="s">
        <v>804</v>
      </c>
      <c r="J167" s="17" t="s">
        <v>179</v>
      </c>
      <c r="K167" s="17" t="s">
        <v>175</v>
      </c>
      <c r="L167" s="17" t="s">
        <v>803</v>
      </c>
      <c r="M167" s="25">
        <v>0.45555555555555555</v>
      </c>
      <c r="N167" s="13" t="str">
        <f t="shared" si="19"/>
        <v>-00:10</v>
      </c>
      <c r="O167" s="13" t="str">
        <f t="shared" si="20"/>
        <v>00:26</v>
      </c>
      <c r="P167" s="4">
        <f t="shared" si="21"/>
        <v>2.7777777777777735E-2</v>
      </c>
      <c r="Q167" s="4">
        <f t="shared" si="22"/>
        <v>5.2777777777777812E-2</v>
      </c>
      <c r="R167" s="5" t="str">
        <f t="shared" si="23"/>
        <v>00:36</v>
      </c>
      <c r="S167" s="3">
        <v>29.7</v>
      </c>
      <c r="T167" s="18" t="str">
        <f t="shared" si="24"/>
        <v>Yes</v>
      </c>
    </row>
    <row r="168" spans="1:20" ht="18" x14ac:dyDescent="0.25">
      <c r="A168" s="21">
        <v>0.3923611111111111</v>
      </c>
      <c r="B168" s="17" t="s">
        <v>805</v>
      </c>
      <c r="C168" s="17" t="s">
        <v>327</v>
      </c>
      <c r="D168" s="17" t="s">
        <v>806</v>
      </c>
      <c r="E168" s="17" t="s">
        <v>807</v>
      </c>
      <c r="F168" s="21">
        <v>0.37708333333333338</v>
      </c>
      <c r="H168" s="21">
        <v>0.42708333333333331</v>
      </c>
      <c r="I168" s="17" t="s">
        <v>808</v>
      </c>
      <c r="J168" s="17" t="s">
        <v>327</v>
      </c>
      <c r="K168" s="17" t="s">
        <v>806</v>
      </c>
      <c r="L168" s="17" t="s">
        <v>807</v>
      </c>
      <c r="M168" s="25">
        <v>0.44166666666666665</v>
      </c>
      <c r="N168" s="13" t="str">
        <f t="shared" si="19"/>
        <v>-00:22</v>
      </c>
      <c r="O168" s="13" t="str">
        <f t="shared" si="20"/>
        <v>00:21</v>
      </c>
      <c r="P168" s="4">
        <f t="shared" si="21"/>
        <v>3.472222222222221E-2</v>
      </c>
      <c r="Q168" s="4">
        <f t="shared" si="22"/>
        <v>6.458333333333327E-2</v>
      </c>
      <c r="R168" s="5" t="str">
        <f t="shared" si="23"/>
        <v>00:43</v>
      </c>
      <c r="S168" s="3">
        <v>28.7</v>
      </c>
      <c r="T168" s="18" t="str">
        <f t="shared" si="24"/>
        <v>Yes</v>
      </c>
    </row>
    <row r="169" spans="1:20" ht="18" x14ac:dyDescent="0.25">
      <c r="A169" s="21">
        <v>0.55555555555555558</v>
      </c>
      <c r="B169" s="17" t="s">
        <v>809</v>
      </c>
      <c r="C169" s="17" t="s">
        <v>810</v>
      </c>
      <c r="D169" s="17" t="s">
        <v>811</v>
      </c>
      <c r="E169" s="17" t="s">
        <v>812</v>
      </c>
      <c r="F169" s="21">
        <v>0.55208333333333337</v>
      </c>
      <c r="H169" s="21">
        <v>0.58680555555555558</v>
      </c>
      <c r="I169" s="17" t="s">
        <v>813</v>
      </c>
      <c r="J169" s="17" t="s">
        <v>810</v>
      </c>
      <c r="K169" s="17" t="s">
        <v>811</v>
      </c>
      <c r="L169" s="17" t="s">
        <v>812</v>
      </c>
      <c r="M169" s="25">
        <v>0.60277777777777775</v>
      </c>
      <c r="N169" s="13" t="str">
        <f t="shared" si="19"/>
        <v>-00:05</v>
      </c>
      <c r="O169" s="13" t="str">
        <f t="shared" si="20"/>
        <v>00:23</v>
      </c>
      <c r="P169" s="4">
        <f t="shared" si="21"/>
        <v>3.125E-2</v>
      </c>
      <c r="Q169" s="4">
        <f t="shared" si="22"/>
        <v>5.0694444444444375E-2</v>
      </c>
      <c r="R169" s="5" t="str">
        <f t="shared" si="23"/>
        <v>00:28</v>
      </c>
      <c r="S169" s="3">
        <v>33.700000000000003</v>
      </c>
      <c r="T169" s="18" t="str">
        <f t="shared" si="24"/>
        <v>Yes</v>
      </c>
    </row>
    <row r="170" spans="1:20" ht="18" x14ac:dyDescent="0.25">
      <c r="A170" s="21">
        <v>0.55902777777777779</v>
      </c>
      <c r="B170" s="17" t="s">
        <v>814</v>
      </c>
      <c r="C170" s="17" t="s">
        <v>815</v>
      </c>
      <c r="D170" s="17" t="s">
        <v>816</v>
      </c>
      <c r="E170" s="17" t="s">
        <v>817</v>
      </c>
      <c r="F170" s="21">
        <v>0.5756944444444444</v>
      </c>
      <c r="H170" s="21">
        <v>0.63194444444444442</v>
      </c>
      <c r="I170" s="17" t="s">
        <v>814</v>
      </c>
      <c r="J170" s="17" t="s">
        <v>818</v>
      </c>
      <c r="K170" s="17" t="s">
        <v>816</v>
      </c>
      <c r="L170" s="17" t="s">
        <v>817</v>
      </c>
      <c r="M170" s="25">
        <v>0.63888888888888895</v>
      </c>
      <c r="N170" s="13" t="str">
        <f t="shared" si="19"/>
        <v>00:24</v>
      </c>
      <c r="O170" s="13" t="str">
        <f t="shared" si="20"/>
        <v>00:10</v>
      </c>
      <c r="P170" s="4">
        <f t="shared" si="21"/>
        <v>7.291666666666663E-2</v>
      </c>
      <c r="Q170" s="4">
        <f t="shared" si="22"/>
        <v>6.3194444444444553E-2</v>
      </c>
      <c r="R170" s="5" t="str">
        <f t="shared" si="23"/>
        <v>-00:14</v>
      </c>
      <c r="S170" s="3">
        <v>21.1</v>
      </c>
      <c r="T170" s="18" t="str">
        <f t="shared" si="24"/>
        <v>No</v>
      </c>
    </row>
    <row r="171" spans="1:20" ht="18" x14ac:dyDescent="0.25">
      <c r="A171" s="21">
        <v>0.60763888888888895</v>
      </c>
      <c r="B171" s="14" t="s">
        <v>819</v>
      </c>
      <c r="C171" s="17" t="s">
        <v>798</v>
      </c>
      <c r="D171" s="17" t="s">
        <v>799</v>
      </c>
      <c r="E171" s="17" t="s">
        <v>820</v>
      </c>
      <c r="F171" s="21">
        <v>0.60069444444444442</v>
      </c>
      <c r="H171" s="21">
        <v>0.62847222222222221</v>
      </c>
      <c r="I171" s="14" t="s">
        <v>821</v>
      </c>
      <c r="J171" s="17" t="s">
        <v>798</v>
      </c>
      <c r="K171" s="17" t="s">
        <v>799</v>
      </c>
      <c r="L171" s="17" t="s">
        <v>820</v>
      </c>
      <c r="M171" s="25">
        <v>0.6479166666666667</v>
      </c>
      <c r="N171" s="13" t="str">
        <f t="shared" si="19"/>
        <v>-00:10</v>
      </c>
      <c r="O171" s="13" t="str">
        <f t="shared" si="20"/>
        <v>00:28</v>
      </c>
      <c r="P171" s="4">
        <f t="shared" si="21"/>
        <v>2.0833333333333259E-2</v>
      </c>
      <c r="Q171" s="4">
        <f t="shared" si="22"/>
        <v>4.7222222222222276E-2</v>
      </c>
      <c r="R171" s="5" t="str">
        <f t="shared" si="23"/>
        <v>00:38</v>
      </c>
      <c r="S171" s="3">
        <v>28.7</v>
      </c>
      <c r="T171" s="18" t="str">
        <f t="shared" si="24"/>
        <v>Yes</v>
      </c>
    </row>
    <row r="172" spans="1:20" ht="18" x14ac:dyDescent="0.25">
      <c r="A172" s="21">
        <v>0.74236111111111114</v>
      </c>
      <c r="B172" s="17" t="s">
        <v>822</v>
      </c>
      <c r="C172" s="17" t="s">
        <v>358</v>
      </c>
      <c r="D172" s="17" t="s">
        <v>823</v>
      </c>
      <c r="E172" s="17" t="s">
        <v>824</v>
      </c>
      <c r="F172" s="21">
        <v>0.7583333333333333</v>
      </c>
      <c r="H172" s="21">
        <v>0.82291666666666663</v>
      </c>
      <c r="I172" s="17" t="s">
        <v>822</v>
      </c>
      <c r="J172" s="17" t="s">
        <v>825</v>
      </c>
      <c r="K172" s="17" t="s">
        <v>823</v>
      </c>
      <c r="L172" s="17" t="s">
        <v>824</v>
      </c>
      <c r="M172" s="25">
        <v>0.83333333333333337</v>
      </c>
      <c r="N172" s="13" t="str">
        <f t="shared" si="19"/>
        <v>00:23</v>
      </c>
      <c r="O172" s="13" t="str">
        <f t="shared" si="20"/>
        <v>00:15</v>
      </c>
      <c r="P172" s="4">
        <f t="shared" si="21"/>
        <v>8.0555555555555491E-2</v>
      </c>
      <c r="Q172" s="4">
        <f t="shared" si="22"/>
        <v>7.5000000000000067E-2</v>
      </c>
      <c r="R172" s="5" t="str">
        <f t="shared" si="23"/>
        <v>-00:08</v>
      </c>
      <c r="S172" s="3">
        <v>14.6</v>
      </c>
      <c r="T172" s="18" t="str">
        <f t="shared" si="24"/>
        <v>No</v>
      </c>
    </row>
    <row r="173" spans="1:20" ht="18" x14ac:dyDescent="0.25">
      <c r="A173" s="21">
        <v>0.72152777777777777</v>
      </c>
      <c r="B173" s="17"/>
      <c r="C173" s="17" t="s">
        <v>826</v>
      </c>
      <c r="D173" s="17" t="s">
        <v>827</v>
      </c>
      <c r="E173" s="17" t="s">
        <v>828</v>
      </c>
      <c r="F173" s="21">
        <v>0.70208333333333339</v>
      </c>
      <c r="H173" s="21">
        <v>0.84375</v>
      </c>
      <c r="I173" s="17"/>
      <c r="J173" s="17" t="s">
        <v>829</v>
      </c>
      <c r="K173" s="17" t="s">
        <v>827</v>
      </c>
      <c r="L173" s="17" t="s">
        <v>828</v>
      </c>
      <c r="M173" s="25">
        <v>0.85416666666666663</v>
      </c>
      <c r="N173" s="13" t="str">
        <f t="shared" si="19"/>
        <v>-00:28</v>
      </c>
      <c r="O173" s="13" t="str">
        <f t="shared" si="20"/>
        <v>00:15</v>
      </c>
      <c r="P173" s="4">
        <f t="shared" si="21"/>
        <v>0.12222222222222223</v>
      </c>
      <c r="Q173" s="4">
        <f t="shared" si="22"/>
        <v>0.15208333333333324</v>
      </c>
      <c r="R173" s="5" t="str">
        <f t="shared" si="23"/>
        <v>00:43</v>
      </c>
      <c r="S173" s="3">
        <v>14.6</v>
      </c>
      <c r="T173" s="18" t="str">
        <f t="shared" si="24"/>
        <v>No</v>
      </c>
    </row>
    <row r="174" spans="1:20" ht="18" x14ac:dyDescent="0.2">
      <c r="A174" s="22"/>
      <c r="B174" s="7"/>
      <c r="C174" s="17"/>
      <c r="D174" s="17"/>
      <c r="E174" s="17"/>
      <c r="F174" s="22"/>
      <c r="H174" s="22"/>
      <c r="I174" s="7"/>
      <c r="J174" s="17"/>
      <c r="K174" s="17"/>
      <c r="L174" s="17"/>
      <c r="N174" s="13" t="str">
        <f t="shared" si="19"/>
        <v>00:00</v>
      </c>
      <c r="O174" s="13" t="str">
        <f t="shared" si="20"/>
        <v>00:00</v>
      </c>
      <c r="P174" s="4">
        <f t="shared" si="21"/>
        <v>0</v>
      </c>
      <c r="Q174" s="4">
        <f t="shared" si="22"/>
        <v>0</v>
      </c>
      <c r="R174" s="5" t="str">
        <f t="shared" si="23"/>
        <v>00:00</v>
      </c>
    </row>
    <row r="175" spans="1:20" ht="18" x14ac:dyDescent="0.2">
      <c r="A175" s="22"/>
      <c r="B175" s="7"/>
      <c r="C175" s="17"/>
      <c r="D175" s="17"/>
      <c r="E175" s="17"/>
      <c r="F175" s="22"/>
      <c r="H175" s="22"/>
      <c r="I175" s="7"/>
      <c r="J175" s="17"/>
      <c r="K175" s="17"/>
      <c r="L175" s="17"/>
      <c r="N175" s="13" t="str">
        <f t="shared" si="19"/>
        <v>00:00</v>
      </c>
      <c r="O175" s="13" t="str">
        <f t="shared" si="20"/>
        <v>00:00</v>
      </c>
      <c r="P175" s="4">
        <f t="shared" si="21"/>
        <v>0</v>
      </c>
      <c r="Q175" s="4">
        <f t="shared" si="22"/>
        <v>0</v>
      </c>
      <c r="R175" s="5" t="str">
        <f t="shared" si="23"/>
        <v>00:00</v>
      </c>
    </row>
    <row r="176" spans="1:20" ht="18" x14ac:dyDescent="0.2">
      <c r="A176" s="22"/>
      <c r="B176" s="7"/>
      <c r="C176" s="6"/>
      <c r="D176" s="6"/>
      <c r="E176" s="6"/>
      <c r="F176" s="22"/>
      <c r="H176" s="22"/>
      <c r="I176" s="7"/>
      <c r="J176" s="6"/>
      <c r="K176" s="6"/>
      <c r="L176" s="6"/>
      <c r="M176" s="27" t="s">
        <v>839</v>
      </c>
      <c r="N176" s="13" t="str">
        <f t="shared" si="19"/>
        <v>00:00</v>
      </c>
      <c r="O176" s="13" t="e">
        <f t="shared" si="20"/>
        <v>#VALUE!</v>
      </c>
      <c r="P176" s="4">
        <f t="shared" si="21"/>
        <v>0</v>
      </c>
      <c r="Q176" s="4" t="e">
        <f t="shared" si="22"/>
        <v>#VALUE!</v>
      </c>
      <c r="R176" s="5" t="e">
        <f t="shared" si="23"/>
        <v>#VALUE!</v>
      </c>
    </row>
    <row r="177" spans="1:18" ht="18" x14ac:dyDescent="0.2">
      <c r="A177" s="22"/>
      <c r="B177" s="7"/>
      <c r="C177" s="6"/>
      <c r="D177" s="6"/>
      <c r="E177" s="6"/>
      <c r="F177" s="22"/>
      <c r="H177" s="22"/>
      <c r="I177" s="7"/>
      <c r="J177" s="6"/>
      <c r="K177" s="6"/>
      <c r="L177" s="6"/>
      <c r="M177" s="27" t="s">
        <v>840</v>
      </c>
      <c r="N177" s="13" t="str">
        <f t="shared" si="19"/>
        <v>00:00</v>
      </c>
      <c r="O177" s="13" t="e">
        <f t="shared" si="20"/>
        <v>#VALUE!</v>
      </c>
      <c r="P177" s="4">
        <f t="shared" si="21"/>
        <v>0</v>
      </c>
      <c r="Q177" s="4" t="e">
        <f t="shared" si="22"/>
        <v>#VALUE!</v>
      </c>
      <c r="R177" s="5" t="e">
        <f t="shared" si="23"/>
        <v>#VALUE!</v>
      </c>
    </row>
    <row r="178" spans="1:18" x14ac:dyDescent="0.2">
      <c r="A178" s="22"/>
      <c r="B178" s="7"/>
      <c r="C178" s="6"/>
      <c r="D178" s="6"/>
      <c r="E178" s="6"/>
      <c r="F178" s="22"/>
      <c r="H178" s="22"/>
      <c r="I178" s="7"/>
      <c r="J178" s="6"/>
      <c r="K178" s="6"/>
      <c r="L178" s="6"/>
      <c r="N178"/>
      <c r="O178"/>
      <c r="P178"/>
      <c r="Q178"/>
      <c r="R178"/>
    </row>
    <row r="179" spans="1:18" x14ac:dyDescent="0.2">
      <c r="A179" s="22"/>
      <c r="B179" s="6"/>
      <c r="C179" s="6"/>
      <c r="D179" s="6"/>
      <c r="E179" s="6"/>
      <c r="F179" s="22"/>
      <c r="H179" s="22"/>
      <c r="I179" s="6"/>
      <c r="J179" s="6"/>
      <c r="K179" s="6"/>
      <c r="L179" s="6"/>
      <c r="N179"/>
      <c r="O179"/>
      <c r="P179"/>
      <c r="Q179"/>
      <c r="R179"/>
    </row>
    <row r="180" spans="1:18" x14ac:dyDescent="0.2">
      <c r="A180" s="22"/>
      <c r="B180" s="24"/>
      <c r="C180" s="6"/>
      <c r="D180" s="6"/>
      <c r="E180" s="6"/>
      <c r="F180" s="22"/>
      <c r="H180" s="22"/>
      <c r="I180" s="7"/>
      <c r="J180" s="6"/>
      <c r="K180" s="6"/>
      <c r="L180" s="6"/>
      <c r="N180"/>
      <c r="O180"/>
      <c r="P180"/>
      <c r="Q180"/>
      <c r="R180"/>
    </row>
    <row r="181" spans="1:18" x14ac:dyDescent="0.2">
      <c r="A181" s="22"/>
      <c r="B181" s="7"/>
      <c r="C181" s="6"/>
      <c r="D181" s="6"/>
      <c r="E181" s="6"/>
      <c r="F181" s="22"/>
      <c r="H181" s="22"/>
      <c r="J181" s="19"/>
      <c r="K181" s="19"/>
      <c r="N181"/>
      <c r="O181"/>
      <c r="P181"/>
      <c r="Q181"/>
      <c r="R181"/>
    </row>
    <row r="182" spans="1:18" x14ac:dyDescent="0.2">
      <c r="A182" s="22"/>
      <c r="B182" s="6"/>
      <c r="C182" s="6"/>
      <c r="D182" s="6"/>
      <c r="E182" s="6"/>
      <c r="F182" s="22"/>
      <c r="H182" s="22"/>
      <c r="J182" s="19"/>
      <c r="K182" s="19"/>
      <c r="N182"/>
      <c r="O182"/>
      <c r="P182"/>
      <c r="Q182"/>
      <c r="R182"/>
    </row>
    <row r="183" spans="1:18" x14ac:dyDescent="0.2">
      <c r="A183" s="22"/>
      <c r="B183" s="6"/>
      <c r="C183" s="6"/>
      <c r="D183" s="8"/>
      <c r="E183" s="6"/>
      <c r="F183" s="22"/>
      <c r="H183" s="22"/>
      <c r="J183" s="19"/>
      <c r="K183" s="19"/>
      <c r="N183"/>
      <c r="O183"/>
      <c r="P183"/>
      <c r="Q183"/>
      <c r="R183"/>
    </row>
    <row r="184" spans="1:18" x14ac:dyDescent="0.2">
      <c r="A184" s="22"/>
      <c r="B184" s="7"/>
      <c r="C184" s="6"/>
      <c r="D184" s="6"/>
      <c r="E184" s="6"/>
      <c r="F184" s="22"/>
      <c r="H184" s="22"/>
      <c r="N184"/>
      <c r="O184"/>
      <c r="P184"/>
      <c r="Q184"/>
      <c r="R184"/>
    </row>
    <row r="185" spans="1:18" x14ac:dyDescent="0.2">
      <c r="A185" s="22"/>
      <c r="B185" s="7"/>
      <c r="C185" s="6"/>
      <c r="D185" s="6"/>
      <c r="E185" s="20"/>
      <c r="F185" s="22"/>
      <c r="H185" s="22"/>
      <c r="J185" s="19"/>
      <c r="N185"/>
      <c r="O185"/>
      <c r="P185"/>
      <c r="Q185"/>
      <c r="R185"/>
    </row>
    <row r="186" spans="1:18" x14ac:dyDescent="0.2">
      <c r="A186" s="22"/>
      <c r="B186" s="6"/>
      <c r="C186" s="6"/>
      <c r="D186" s="6"/>
      <c r="E186" s="6"/>
      <c r="F186" s="22"/>
      <c r="H186" s="22"/>
      <c r="N186"/>
      <c r="O186"/>
      <c r="P186"/>
      <c r="Q186"/>
      <c r="R186"/>
    </row>
    <row r="187" spans="1:18" x14ac:dyDescent="0.2">
      <c r="A187" s="22"/>
      <c r="B187" s="6"/>
      <c r="C187" s="6"/>
      <c r="D187" s="6"/>
      <c r="E187" s="6"/>
      <c r="F187" s="22"/>
      <c r="H187" s="22"/>
      <c r="N187"/>
      <c r="O187"/>
      <c r="P187"/>
      <c r="Q187"/>
      <c r="R187"/>
    </row>
    <row r="188" spans="1:18" x14ac:dyDescent="0.2">
      <c r="A188" s="22"/>
      <c r="B188" s="6"/>
      <c r="C188" s="6"/>
      <c r="D188" s="6"/>
      <c r="E188" s="6"/>
      <c r="F188" s="22"/>
      <c r="H188" s="22"/>
      <c r="N188"/>
      <c r="O188"/>
      <c r="P188"/>
      <c r="Q188"/>
      <c r="R188"/>
    </row>
    <row r="189" spans="1:18" x14ac:dyDescent="0.2">
      <c r="A189" s="22"/>
      <c r="B189" s="7"/>
      <c r="C189" s="6"/>
      <c r="D189" s="6"/>
      <c r="E189" s="6"/>
      <c r="F189" s="22"/>
      <c r="H189" s="22"/>
      <c r="N189"/>
      <c r="O189"/>
      <c r="P189"/>
      <c r="Q189"/>
      <c r="R189"/>
    </row>
    <row r="190" spans="1:18" x14ac:dyDescent="0.2">
      <c r="A190" s="22"/>
      <c r="B190" s="7"/>
      <c r="C190" s="6"/>
      <c r="D190" s="6"/>
      <c r="E190" s="6"/>
      <c r="F190" s="22"/>
      <c r="H190" s="22"/>
      <c r="N190"/>
      <c r="O190"/>
      <c r="P190"/>
      <c r="Q190"/>
      <c r="R190"/>
    </row>
    <row r="191" spans="1:18" x14ac:dyDescent="0.2">
      <c r="A191" s="22"/>
      <c r="B191" s="7"/>
      <c r="C191" s="6"/>
      <c r="D191" s="6"/>
      <c r="E191" s="6"/>
      <c r="F191" s="22"/>
      <c r="H191" s="22"/>
      <c r="N191"/>
      <c r="O191"/>
      <c r="P191"/>
      <c r="Q191"/>
      <c r="R191"/>
    </row>
    <row r="192" spans="1:18" x14ac:dyDescent="0.2">
      <c r="A192" s="22"/>
      <c r="B192" s="7"/>
      <c r="C192" s="6"/>
      <c r="D192" s="6"/>
      <c r="E192" s="6"/>
      <c r="F192" s="22"/>
      <c r="H192" s="22"/>
      <c r="N192"/>
      <c r="O192"/>
      <c r="P192"/>
      <c r="Q192"/>
      <c r="R192"/>
    </row>
    <row r="193" spans="1:18" x14ac:dyDescent="0.2">
      <c r="A193" s="22"/>
      <c r="B193" s="7"/>
      <c r="C193" s="6"/>
      <c r="D193" s="6"/>
      <c r="E193" s="6"/>
      <c r="F193" s="22"/>
      <c r="H193" s="22"/>
      <c r="N193"/>
      <c r="O193"/>
      <c r="P193"/>
      <c r="Q193"/>
      <c r="R193"/>
    </row>
    <row r="194" spans="1:18" x14ac:dyDescent="0.2">
      <c r="A194" s="22"/>
      <c r="B194" s="7"/>
      <c r="C194" s="6"/>
      <c r="D194" s="6"/>
      <c r="E194" s="6"/>
      <c r="F194" s="22"/>
      <c r="H194" s="22"/>
      <c r="N194"/>
      <c r="O194"/>
      <c r="P194"/>
      <c r="Q194"/>
      <c r="R194"/>
    </row>
    <row r="195" spans="1:18" x14ac:dyDescent="0.2">
      <c r="A195" s="22"/>
      <c r="B195" s="6"/>
      <c r="C195" s="6"/>
      <c r="D195" s="6"/>
      <c r="E195" s="6"/>
      <c r="F195" s="22"/>
      <c r="H195" s="22"/>
      <c r="N195"/>
      <c r="O195"/>
      <c r="P195"/>
      <c r="Q195"/>
      <c r="R195"/>
    </row>
    <row r="196" spans="1:18" x14ac:dyDescent="0.2">
      <c r="A196" s="22"/>
      <c r="B196" s="7"/>
      <c r="C196" s="6"/>
      <c r="D196" s="6"/>
      <c r="E196" s="6"/>
      <c r="F196" s="22"/>
      <c r="H196" s="22"/>
      <c r="I196" s="7"/>
      <c r="J196" s="6"/>
      <c r="K196" s="6"/>
      <c r="L196" s="6"/>
      <c r="N196"/>
      <c r="O196"/>
      <c r="P196"/>
      <c r="Q196"/>
      <c r="R196"/>
    </row>
    <row r="197" spans="1:18" x14ac:dyDescent="0.2">
      <c r="A197" s="22"/>
      <c r="B197" s="6"/>
      <c r="C197" s="6"/>
      <c r="D197" s="6"/>
      <c r="E197" s="6"/>
      <c r="F197" s="22"/>
      <c r="H197" s="22"/>
      <c r="I197" s="7"/>
      <c r="J197" s="6"/>
      <c r="K197" s="6"/>
      <c r="L197" s="6"/>
      <c r="N197"/>
      <c r="O197"/>
      <c r="P197"/>
      <c r="Q197"/>
      <c r="R197"/>
    </row>
    <row r="198" spans="1:18" x14ac:dyDescent="0.2">
      <c r="A198" s="22"/>
      <c r="B198" s="6"/>
      <c r="C198" s="6"/>
      <c r="D198" s="6"/>
      <c r="E198" s="6"/>
      <c r="F198" s="22"/>
      <c r="H198" s="22"/>
      <c r="I198" s="6"/>
      <c r="J198" s="6"/>
      <c r="K198" s="6"/>
      <c r="L198" s="6"/>
      <c r="N198"/>
      <c r="O198"/>
      <c r="P198"/>
      <c r="Q198"/>
      <c r="R198"/>
    </row>
    <row r="199" spans="1:18" x14ac:dyDescent="0.2">
      <c r="A199" s="22"/>
      <c r="B199" s="6"/>
      <c r="C199" s="6"/>
      <c r="D199" s="6"/>
      <c r="E199" s="6"/>
      <c r="F199" s="22"/>
      <c r="H199" s="22"/>
      <c r="I199" s="7"/>
      <c r="J199" s="6"/>
      <c r="K199" s="6"/>
      <c r="L199" s="6"/>
      <c r="N199"/>
      <c r="O199"/>
      <c r="P199"/>
      <c r="Q199"/>
      <c r="R199"/>
    </row>
    <row r="200" spans="1:18" x14ac:dyDescent="0.2">
      <c r="A200" s="22"/>
      <c r="B200" s="6"/>
      <c r="C200" s="6"/>
      <c r="D200" s="6"/>
      <c r="E200" s="6"/>
      <c r="F200" s="22"/>
      <c r="H200" s="22"/>
      <c r="I200" s="7"/>
      <c r="J200" s="6"/>
      <c r="K200" s="6"/>
      <c r="L200" s="6"/>
      <c r="N200"/>
      <c r="O200"/>
      <c r="P200"/>
      <c r="Q200"/>
      <c r="R200"/>
    </row>
    <row r="201" spans="1:18" x14ac:dyDescent="0.2">
      <c r="A201" s="22"/>
      <c r="B201" s="7"/>
      <c r="C201" s="6"/>
      <c r="D201" s="6"/>
      <c r="E201" s="6"/>
      <c r="F201" s="22"/>
      <c r="H201" s="22"/>
      <c r="I201" s="7"/>
      <c r="J201" s="6"/>
      <c r="K201" s="6"/>
      <c r="L201" s="6"/>
      <c r="N201"/>
      <c r="O201"/>
      <c r="P201"/>
      <c r="Q201"/>
      <c r="R201"/>
    </row>
    <row r="202" spans="1:18" x14ac:dyDescent="0.2">
      <c r="A202" s="22"/>
      <c r="B202" s="6"/>
      <c r="C202" s="6"/>
      <c r="D202" s="6"/>
      <c r="E202" s="8"/>
      <c r="F202" s="22"/>
      <c r="H202" s="22"/>
      <c r="I202" s="7"/>
      <c r="J202" s="6"/>
      <c r="K202" s="6"/>
      <c r="L202" s="6"/>
      <c r="N202"/>
      <c r="O202"/>
      <c r="P202"/>
      <c r="Q202"/>
      <c r="R202"/>
    </row>
    <row r="203" spans="1:18" x14ac:dyDescent="0.2">
      <c r="A203" s="22"/>
      <c r="B203" s="7"/>
      <c r="C203" s="6"/>
      <c r="D203" s="6"/>
      <c r="E203" s="6"/>
      <c r="F203" s="22"/>
      <c r="H203" s="22"/>
      <c r="I203" s="7"/>
      <c r="J203" s="6"/>
      <c r="K203" s="6"/>
      <c r="L203" s="6"/>
      <c r="N203"/>
      <c r="O203"/>
      <c r="P203"/>
      <c r="Q203"/>
      <c r="R203"/>
    </row>
    <row r="204" spans="1:18" x14ac:dyDescent="0.2">
      <c r="A204" s="22"/>
      <c r="B204" s="6"/>
      <c r="C204" s="6"/>
      <c r="D204" s="6"/>
      <c r="E204" s="6"/>
      <c r="F204" s="22"/>
      <c r="H204" s="22"/>
      <c r="I204" s="7"/>
      <c r="J204" s="6"/>
      <c r="K204" s="6"/>
      <c r="L204" s="6"/>
      <c r="N204"/>
      <c r="O204"/>
      <c r="P204"/>
      <c r="Q204"/>
      <c r="R204"/>
    </row>
    <row r="205" spans="1:18" x14ac:dyDescent="0.2">
      <c r="A205" s="22"/>
      <c r="B205" s="6"/>
      <c r="C205" s="6"/>
      <c r="D205" s="6"/>
      <c r="E205" s="6"/>
      <c r="F205" s="22"/>
      <c r="H205" s="22"/>
      <c r="I205" s="6"/>
      <c r="J205" s="6"/>
      <c r="K205" s="6"/>
      <c r="L205" s="6"/>
      <c r="N205"/>
      <c r="O205"/>
      <c r="P205"/>
      <c r="Q205"/>
      <c r="R205"/>
    </row>
    <row r="206" spans="1:18" x14ac:dyDescent="0.2">
      <c r="A206" s="22"/>
      <c r="B206" s="7"/>
      <c r="C206" s="6"/>
      <c r="D206" s="6"/>
      <c r="E206" s="6"/>
      <c r="F206" s="22"/>
      <c r="H206" s="22"/>
      <c r="I206" s="7"/>
      <c r="J206" s="6"/>
      <c r="K206" s="6"/>
      <c r="L206" s="6"/>
      <c r="N206"/>
      <c r="O206"/>
      <c r="P206"/>
      <c r="Q206"/>
      <c r="R206"/>
    </row>
    <row r="207" spans="1:18" x14ac:dyDescent="0.2">
      <c r="A207" s="22"/>
      <c r="B207" s="6"/>
      <c r="C207" s="6"/>
      <c r="D207" s="6"/>
      <c r="E207" s="6"/>
      <c r="F207" s="22"/>
      <c r="H207" s="22"/>
      <c r="I207" s="7"/>
      <c r="J207" s="6"/>
      <c r="K207" s="6"/>
      <c r="L207" s="6"/>
      <c r="N207"/>
      <c r="O207"/>
      <c r="P207"/>
      <c r="Q207"/>
      <c r="R207"/>
    </row>
    <row r="208" spans="1:18" x14ac:dyDescent="0.2">
      <c r="A208" s="22"/>
      <c r="B208" s="6"/>
      <c r="C208" s="6"/>
      <c r="D208" s="6"/>
      <c r="E208" s="6"/>
      <c r="F208" s="22"/>
      <c r="H208" s="22"/>
      <c r="I208" s="6"/>
      <c r="J208" s="6"/>
      <c r="K208" s="6"/>
      <c r="L208" s="6"/>
      <c r="N208"/>
      <c r="O208"/>
      <c r="P208"/>
      <c r="Q208"/>
      <c r="R208"/>
    </row>
    <row r="209" spans="1:18" x14ac:dyDescent="0.2">
      <c r="A209" s="22"/>
      <c r="B209" s="6"/>
      <c r="C209" s="6"/>
      <c r="D209" s="6"/>
      <c r="E209" s="6"/>
      <c r="F209" s="22"/>
      <c r="H209" s="22"/>
      <c r="I209" s="7"/>
      <c r="J209" s="6"/>
      <c r="K209" s="6"/>
      <c r="L209" s="6"/>
      <c r="N209"/>
      <c r="O209"/>
      <c r="P209"/>
      <c r="Q209"/>
      <c r="R209"/>
    </row>
    <row r="210" spans="1:18" x14ac:dyDescent="0.2">
      <c r="A210" s="22"/>
      <c r="B210" s="6"/>
      <c r="C210" s="6"/>
      <c r="D210" s="6"/>
      <c r="E210" s="6"/>
      <c r="F210" s="22"/>
      <c r="H210" s="22"/>
      <c r="I210" s="7"/>
      <c r="J210" s="6"/>
      <c r="K210" s="6"/>
      <c r="L210" s="6"/>
      <c r="N210"/>
      <c r="O210"/>
      <c r="P210"/>
      <c r="Q210"/>
      <c r="R210"/>
    </row>
    <row r="211" spans="1:18" x14ac:dyDescent="0.2">
      <c r="A211" s="22"/>
      <c r="B211" s="7"/>
      <c r="C211" s="6"/>
      <c r="D211" s="6"/>
      <c r="E211" s="6"/>
      <c r="F211" s="22"/>
      <c r="H211" s="22"/>
      <c r="I211" s="7"/>
      <c r="J211" s="6"/>
      <c r="K211" s="6"/>
      <c r="L211" s="6"/>
      <c r="N211"/>
      <c r="O211"/>
      <c r="P211"/>
      <c r="Q211"/>
      <c r="R211"/>
    </row>
    <row r="212" spans="1:18" x14ac:dyDescent="0.2">
      <c r="A212" s="22"/>
      <c r="B212" s="7"/>
      <c r="C212" s="6"/>
      <c r="D212" s="6"/>
      <c r="E212" s="6"/>
      <c r="F212" s="22"/>
      <c r="H212" s="22"/>
      <c r="I212" s="6"/>
      <c r="J212" s="6"/>
      <c r="K212" s="6"/>
      <c r="L212" s="6"/>
      <c r="N212"/>
      <c r="O212"/>
      <c r="P212"/>
      <c r="Q212"/>
      <c r="R212"/>
    </row>
    <row r="213" spans="1:18" x14ac:dyDescent="0.2">
      <c r="A213" s="22"/>
      <c r="B213" s="7"/>
      <c r="C213" s="6"/>
      <c r="D213" s="6"/>
      <c r="E213" s="6"/>
      <c r="F213" s="22"/>
      <c r="H213" s="22"/>
      <c r="I213" s="6"/>
      <c r="J213" s="6"/>
      <c r="K213" s="6"/>
      <c r="L213" s="6"/>
      <c r="N213"/>
      <c r="O213"/>
      <c r="P213"/>
      <c r="Q213"/>
      <c r="R213"/>
    </row>
    <row r="214" spans="1:18" x14ac:dyDescent="0.2">
      <c r="A214" s="22"/>
      <c r="B214" s="6"/>
      <c r="C214" s="6"/>
      <c r="D214" s="6"/>
      <c r="E214" s="6"/>
      <c r="F214" s="22"/>
      <c r="H214" s="22"/>
      <c r="I214" s="7"/>
      <c r="J214" s="6"/>
      <c r="K214" s="6"/>
      <c r="L214" s="6"/>
      <c r="N214"/>
      <c r="O214"/>
      <c r="P214"/>
      <c r="Q214"/>
      <c r="R214"/>
    </row>
    <row r="215" spans="1:18" x14ac:dyDescent="0.2">
      <c r="A215" s="22"/>
      <c r="B215" s="7"/>
      <c r="C215" s="6"/>
      <c r="D215" s="6"/>
      <c r="E215" s="6"/>
      <c r="F215" s="22"/>
      <c r="H215" s="22"/>
      <c r="I215" s="7"/>
      <c r="J215" s="6"/>
      <c r="K215" s="6"/>
      <c r="L215" s="6"/>
      <c r="N215"/>
      <c r="O215"/>
      <c r="P215"/>
      <c r="Q215"/>
      <c r="R215"/>
    </row>
    <row r="216" spans="1:18" x14ac:dyDescent="0.2">
      <c r="A216" s="22"/>
      <c r="B216" s="7"/>
      <c r="C216" s="6"/>
      <c r="D216" s="6"/>
      <c r="E216" s="6"/>
      <c r="F216" s="22"/>
      <c r="H216" s="22"/>
      <c r="I216" s="6"/>
      <c r="J216" s="6"/>
      <c r="K216" s="6"/>
      <c r="L216" s="6"/>
      <c r="N216"/>
      <c r="O216"/>
      <c r="P216"/>
      <c r="Q216"/>
      <c r="R216"/>
    </row>
    <row r="217" spans="1:18" x14ac:dyDescent="0.2">
      <c r="A217" s="22"/>
      <c r="B217" s="7"/>
      <c r="C217" s="6"/>
      <c r="D217" s="6"/>
      <c r="E217" s="6"/>
      <c r="F217" s="22"/>
      <c r="H217" s="22"/>
      <c r="I217" s="7"/>
      <c r="J217" s="6"/>
      <c r="K217" s="6"/>
      <c r="L217" s="6"/>
      <c r="N217"/>
      <c r="O217"/>
      <c r="P217"/>
      <c r="Q217"/>
      <c r="R217"/>
    </row>
    <row r="218" spans="1:18" x14ac:dyDescent="0.2">
      <c r="A218" s="22"/>
      <c r="B218" s="7"/>
      <c r="C218" s="6"/>
      <c r="D218" s="6"/>
      <c r="E218" s="6"/>
      <c r="F218" s="22"/>
      <c r="H218" s="22"/>
      <c r="I218" s="6"/>
      <c r="J218" s="6"/>
      <c r="K218" s="6"/>
      <c r="L218" s="6"/>
      <c r="N218"/>
      <c r="O218"/>
      <c r="P218"/>
      <c r="Q218"/>
      <c r="R218"/>
    </row>
    <row r="219" spans="1:18" x14ac:dyDescent="0.2">
      <c r="A219" s="22"/>
      <c r="B219" s="7"/>
      <c r="C219" s="6"/>
      <c r="D219" s="6"/>
      <c r="E219" s="6"/>
      <c r="F219" s="22"/>
      <c r="H219" s="22"/>
      <c r="I219" s="6"/>
      <c r="J219" s="6"/>
      <c r="K219" s="6"/>
      <c r="L219" s="6"/>
      <c r="N219"/>
      <c r="O219"/>
      <c r="P219"/>
      <c r="Q219"/>
      <c r="R219"/>
    </row>
    <row r="220" spans="1:18" x14ac:dyDescent="0.2">
      <c r="A220" s="22"/>
      <c r="B220" s="7"/>
      <c r="C220" s="6"/>
      <c r="D220" s="6"/>
      <c r="E220" s="6"/>
      <c r="F220" s="22"/>
      <c r="H220" s="22"/>
      <c r="I220" s="7"/>
      <c r="J220" s="6"/>
      <c r="K220" s="6"/>
      <c r="L220" s="6"/>
      <c r="N220"/>
      <c r="O220"/>
      <c r="P220"/>
      <c r="Q220"/>
      <c r="R220"/>
    </row>
    <row r="221" spans="1:18" x14ac:dyDescent="0.2">
      <c r="A221" s="22"/>
      <c r="B221" s="6"/>
      <c r="C221" s="6"/>
      <c r="D221" s="6"/>
      <c r="E221" s="6"/>
      <c r="F221" s="22"/>
      <c r="H221" s="22"/>
      <c r="I221" s="7"/>
      <c r="J221" s="6"/>
      <c r="K221" s="6"/>
      <c r="L221" s="6"/>
      <c r="N221"/>
      <c r="O221"/>
      <c r="P221"/>
      <c r="Q221"/>
      <c r="R221"/>
    </row>
    <row r="222" spans="1:18" x14ac:dyDescent="0.2">
      <c r="A222" s="22"/>
      <c r="B222" s="7"/>
      <c r="C222" s="6"/>
      <c r="D222" s="6"/>
      <c r="E222" s="6"/>
      <c r="F222" s="22"/>
      <c r="H222" s="22"/>
      <c r="I222" s="7"/>
      <c r="J222" s="6"/>
      <c r="K222" s="6"/>
      <c r="L222" s="6"/>
      <c r="N222"/>
      <c r="O222"/>
      <c r="P222"/>
      <c r="Q222"/>
      <c r="R222"/>
    </row>
    <row r="223" spans="1:18" x14ac:dyDescent="0.2">
      <c r="A223" s="22"/>
      <c r="B223" s="7"/>
      <c r="C223" s="6"/>
      <c r="D223" s="6"/>
      <c r="E223" s="6"/>
      <c r="F223" s="22"/>
      <c r="H223" s="22"/>
      <c r="I223" s="7"/>
      <c r="J223" s="6"/>
      <c r="K223" s="6"/>
      <c r="L223" s="6"/>
      <c r="N223"/>
      <c r="O223"/>
      <c r="P223"/>
      <c r="Q223"/>
      <c r="R223"/>
    </row>
    <row r="224" spans="1:18" x14ac:dyDescent="0.2">
      <c r="A224" s="22"/>
      <c r="B224" s="6"/>
      <c r="C224" s="6"/>
      <c r="D224" s="6"/>
      <c r="E224" s="6"/>
      <c r="F224" s="22"/>
      <c r="H224" s="22"/>
      <c r="I224" s="6"/>
      <c r="J224" s="6"/>
      <c r="K224" s="6"/>
      <c r="L224" s="6"/>
      <c r="N224"/>
      <c r="O224"/>
      <c r="P224"/>
      <c r="Q224"/>
      <c r="R224"/>
    </row>
    <row r="225" spans="1:18" x14ac:dyDescent="0.2">
      <c r="A225" s="22"/>
      <c r="B225" s="7"/>
      <c r="C225" s="6"/>
      <c r="D225" s="6"/>
      <c r="E225" s="6"/>
      <c r="F225" s="22"/>
      <c r="H225" s="22"/>
      <c r="I225" s="7"/>
      <c r="J225" s="6"/>
      <c r="K225" s="6"/>
      <c r="L225" s="6"/>
      <c r="N225"/>
      <c r="O225"/>
      <c r="P225"/>
      <c r="Q225"/>
      <c r="R225"/>
    </row>
    <row r="226" spans="1:18" x14ac:dyDescent="0.2">
      <c r="A226" s="22"/>
      <c r="B226" s="7"/>
      <c r="C226" s="6"/>
      <c r="D226" s="6"/>
      <c r="E226" s="6"/>
      <c r="F226" s="22"/>
      <c r="H226" s="22"/>
      <c r="I226" s="7"/>
      <c r="J226" s="6"/>
      <c r="K226" s="6"/>
      <c r="L226" s="6"/>
      <c r="N226"/>
      <c r="O226"/>
      <c r="P226"/>
      <c r="Q226"/>
      <c r="R226"/>
    </row>
    <row r="227" spans="1:18" x14ac:dyDescent="0.2">
      <c r="A227" s="22"/>
      <c r="B227" s="7"/>
      <c r="C227" s="6"/>
      <c r="D227" s="6"/>
      <c r="E227" s="6"/>
      <c r="F227" s="22"/>
      <c r="H227" s="22"/>
      <c r="I227" s="7"/>
      <c r="J227" s="6"/>
      <c r="K227" s="6"/>
      <c r="L227" s="6"/>
      <c r="N227"/>
      <c r="O227"/>
      <c r="P227"/>
      <c r="Q227"/>
      <c r="R227"/>
    </row>
    <row r="228" spans="1:18" x14ac:dyDescent="0.2">
      <c r="A228" s="22"/>
      <c r="B228" s="6"/>
      <c r="C228" s="6"/>
      <c r="D228" s="6"/>
      <c r="E228" s="6"/>
      <c r="F228" s="22"/>
      <c r="H228" s="22"/>
      <c r="I228" s="7"/>
      <c r="J228" s="6"/>
      <c r="K228" s="6"/>
      <c r="L228" s="6"/>
      <c r="N228"/>
      <c r="O228"/>
      <c r="P228"/>
      <c r="Q228"/>
      <c r="R228"/>
    </row>
    <row r="229" spans="1:18" x14ac:dyDescent="0.2">
      <c r="A229" s="22"/>
      <c r="B229" s="6"/>
      <c r="C229" s="6"/>
      <c r="D229" s="6"/>
      <c r="E229" s="6"/>
      <c r="F229" s="22"/>
      <c r="H229" s="22"/>
      <c r="I229" s="7"/>
      <c r="J229" s="6"/>
      <c r="K229" s="6"/>
      <c r="L229" s="8"/>
      <c r="N229"/>
      <c r="O229"/>
      <c r="P229"/>
      <c r="Q229"/>
      <c r="R229"/>
    </row>
    <row r="230" spans="1:18" x14ac:dyDescent="0.2">
      <c r="A230" s="22"/>
      <c r="B230" s="7"/>
      <c r="C230" s="6"/>
      <c r="D230" s="6"/>
      <c r="E230" s="6"/>
      <c r="F230" s="22"/>
      <c r="H230" s="22"/>
      <c r="I230" s="7"/>
      <c r="J230" s="6"/>
      <c r="K230" s="6"/>
      <c r="L230" s="6"/>
      <c r="N230"/>
      <c r="O230"/>
      <c r="P230"/>
      <c r="Q230"/>
      <c r="R230"/>
    </row>
    <row r="231" spans="1:18" x14ac:dyDescent="0.2">
      <c r="A231" s="22"/>
      <c r="B231" s="7"/>
      <c r="C231" s="6"/>
      <c r="D231" s="6"/>
      <c r="E231" s="6"/>
      <c r="F231" s="22"/>
      <c r="H231" s="22"/>
      <c r="I231" s="7"/>
      <c r="J231" s="6"/>
      <c r="K231" s="6"/>
      <c r="L231" s="6"/>
      <c r="N231"/>
      <c r="O231"/>
      <c r="P231"/>
      <c r="Q231"/>
      <c r="R231"/>
    </row>
    <row r="232" spans="1:18" x14ac:dyDescent="0.2">
      <c r="A232" s="22"/>
      <c r="B232" s="6"/>
      <c r="C232" s="6"/>
      <c r="D232" s="6"/>
      <c r="E232" s="6"/>
      <c r="F232" s="22"/>
      <c r="H232" s="22"/>
      <c r="I232" s="7"/>
      <c r="J232" s="6"/>
      <c r="K232" s="6"/>
      <c r="L232" s="6"/>
      <c r="N232"/>
      <c r="O232"/>
      <c r="P232"/>
      <c r="Q232"/>
      <c r="R232"/>
    </row>
    <row r="233" spans="1:18" x14ac:dyDescent="0.2">
      <c r="A233" s="22"/>
      <c r="B233" s="7"/>
      <c r="C233" s="6"/>
      <c r="D233" s="6"/>
      <c r="E233" s="6"/>
      <c r="F233" s="22"/>
      <c r="H233" s="22"/>
      <c r="I233" s="7"/>
      <c r="J233" s="6"/>
      <c r="K233" s="6"/>
      <c r="L233" s="6"/>
      <c r="N233"/>
      <c r="O233"/>
      <c r="P233"/>
      <c r="Q233"/>
      <c r="R233"/>
    </row>
    <row r="234" spans="1:18" x14ac:dyDescent="0.2">
      <c r="A234" s="22"/>
      <c r="B234" s="6"/>
      <c r="C234" s="6"/>
      <c r="D234" s="6"/>
      <c r="E234" s="6"/>
      <c r="F234" s="22"/>
      <c r="H234" s="22"/>
      <c r="I234" s="7"/>
      <c r="J234" s="6"/>
      <c r="K234" s="6"/>
      <c r="L234" s="6"/>
      <c r="N234"/>
      <c r="O234"/>
      <c r="P234"/>
      <c r="Q234"/>
      <c r="R234"/>
    </row>
    <row r="235" spans="1:18" x14ac:dyDescent="0.2">
      <c r="A235" s="22"/>
      <c r="B235" s="6"/>
      <c r="C235" s="6"/>
      <c r="D235" s="6"/>
      <c r="E235" s="6"/>
      <c r="F235" s="22"/>
      <c r="H235" s="22"/>
      <c r="I235" s="7"/>
      <c r="J235" s="6"/>
      <c r="K235" s="6"/>
      <c r="L235" s="6"/>
      <c r="N235"/>
      <c r="O235"/>
      <c r="P235"/>
      <c r="Q235"/>
      <c r="R235"/>
    </row>
    <row r="236" spans="1:18" x14ac:dyDescent="0.2">
      <c r="A236" s="22"/>
      <c r="B236" s="7"/>
      <c r="C236" s="6"/>
      <c r="D236" s="6"/>
      <c r="E236" s="6"/>
      <c r="F236" s="22"/>
      <c r="H236" s="22"/>
      <c r="I236" s="7"/>
      <c r="J236" s="6"/>
      <c r="K236" s="6"/>
      <c r="L236" s="6"/>
      <c r="N236"/>
      <c r="O236"/>
      <c r="P236"/>
      <c r="Q236"/>
      <c r="R236"/>
    </row>
    <row r="237" spans="1:18" x14ac:dyDescent="0.2">
      <c r="A237" s="22"/>
      <c r="B237" s="7"/>
      <c r="C237" s="6"/>
      <c r="D237" s="6"/>
      <c r="E237" s="6"/>
      <c r="F237" s="22"/>
      <c r="H237" s="22"/>
      <c r="I237" s="7"/>
      <c r="J237" s="6"/>
      <c r="K237" s="6"/>
      <c r="L237" s="6"/>
      <c r="N237"/>
      <c r="O237"/>
      <c r="P237"/>
      <c r="Q237"/>
      <c r="R237"/>
    </row>
    <row r="238" spans="1:18" x14ac:dyDescent="0.2">
      <c r="A238" s="22"/>
      <c r="B238" s="7"/>
      <c r="C238" s="6"/>
      <c r="D238" s="6"/>
      <c r="E238" s="6"/>
      <c r="F238" s="22"/>
      <c r="H238" s="22"/>
      <c r="I238" s="7"/>
      <c r="J238" s="6"/>
      <c r="K238" s="6"/>
      <c r="L238" s="6"/>
      <c r="N238"/>
      <c r="O238"/>
      <c r="P238"/>
      <c r="Q238"/>
      <c r="R238"/>
    </row>
    <row r="239" spans="1:18" x14ac:dyDescent="0.2">
      <c r="A239" s="22"/>
      <c r="B239" s="7"/>
      <c r="C239" s="6"/>
      <c r="D239" s="6"/>
      <c r="E239" s="6"/>
      <c r="F239" s="22"/>
      <c r="H239" s="22"/>
      <c r="I239" s="6"/>
      <c r="J239" s="6"/>
      <c r="K239" s="8"/>
      <c r="L239" s="8"/>
      <c r="N239"/>
      <c r="O239"/>
      <c r="P239"/>
      <c r="Q239"/>
      <c r="R239"/>
    </row>
    <row r="240" spans="1:18" x14ac:dyDescent="0.2">
      <c r="A240" s="22"/>
      <c r="B240" s="6"/>
      <c r="C240" s="6"/>
      <c r="D240" s="6"/>
      <c r="E240" s="6"/>
      <c r="F240" s="22"/>
      <c r="H240" s="22"/>
      <c r="I240" s="7"/>
      <c r="J240" s="6"/>
      <c r="K240" s="6"/>
      <c r="L240" s="6"/>
      <c r="N240"/>
      <c r="O240"/>
      <c r="P240"/>
      <c r="Q240"/>
      <c r="R240"/>
    </row>
    <row r="241" spans="1:18" x14ac:dyDescent="0.2">
      <c r="A241" s="22"/>
      <c r="B241" s="7"/>
      <c r="C241" s="6"/>
      <c r="D241" s="6"/>
      <c r="E241" s="6"/>
      <c r="F241" s="22"/>
      <c r="H241" s="22"/>
      <c r="I241" s="7"/>
      <c r="J241" s="6"/>
      <c r="K241" s="6"/>
      <c r="L241" s="6"/>
      <c r="N241"/>
      <c r="O241"/>
      <c r="P241"/>
      <c r="Q241"/>
      <c r="R241"/>
    </row>
    <row r="242" spans="1:18" x14ac:dyDescent="0.2">
      <c r="A242" s="22"/>
      <c r="B242" s="7"/>
      <c r="C242" s="6"/>
      <c r="D242" s="6"/>
      <c r="E242" s="6"/>
      <c r="F242" s="22"/>
      <c r="H242" s="22"/>
      <c r="I242" s="6"/>
      <c r="J242" s="6"/>
      <c r="K242" s="6"/>
      <c r="L242" s="6"/>
      <c r="N242"/>
      <c r="O242"/>
      <c r="P242"/>
      <c r="Q242"/>
      <c r="R242"/>
    </row>
    <row r="243" spans="1:18" x14ac:dyDescent="0.2">
      <c r="A243" s="22"/>
      <c r="B243" s="7"/>
      <c r="C243" s="6"/>
      <c r="D243" s="6"/>
      <c r="E243" s="6"/>
      <c r="F243" s="22"/>
      <c r="H243" s="22"/>
      <c r="I243" s="7"/>
      <c r="J243" s="6"/>
      <c r="K243" s="6"/>
      <c r="L243" s="6"/>
      <c r="N243"/>
      <c r="O243"/>
      <c r="P243"/>
      <c r="Q243"/>
      <c r="R243"/>
    </row>
    <row r="244" spans="1:18" x14ac:dyDescent="0.2">
      <c r="A244" s="22"/>
      <c r="B244" s="7"/>
      <c r="C244" s="6"/>
      <c r="D244" s="6"/>
      <c r="E244" s="6"/>
      <c r="F244" s="22"/>
      <c r="H244" s="22"/>
      <c r="I244" s="7"/>
      <c r="J244" s="6"/>
      <c r="K244" s="6"/>
      <c r="L244" s="6"/>
      <c r="N244"/>
      <c r="O244"/>
      <c r="P244"/>
      <c r="Q244"/>
      <c r="R244"/>
    </row>
    <row r="245" spans="1:18" x14ac:dyDescent="0.2">
      <c r="A245" s="22"/>
      <c r="B245" s="7"/>
      <c r="C245" s="6"/>
      <c r="D245" s="6"/>
      <c r="E245" s="8"/>
      <c r="F245" s="22"/>
      <c r="H245" s="22"/>
      <c r="I245" s="7"/>
      <c r="J245" s="6"/>
      <c r="K245" s="6"/>
      <c r="L245" s="6"/>
      <c r="N245"/>
      <c r="O245"/>
      <c r="P245"/>
      <c r="Q245"/>
      <c r="R245"/>
    </row>
    <row r="246" spans="1:18" x14ac:dyDescent="0.2">
      <c r="A246" s="22"/>
      <c r="B246" s="7"/>
      <c r="C246" s="6"/>
      <c r="D246" s="6"/>
      <c r="E246" s="6"/>
      <c r="F246" s="22"/>
      <c r="H246" s="22"/>
      <c r="I246" s="7"/>
      <c r="J246" s="6"/>
      <c r="K246" s="6"/>
      <c r="L246" s="6"/>
      <c r="N246"/>
      <c r="O246"/>
      <c r="P246"/>
      <c r="Q246"/>
      <c r="R246"/>
    </row>
    <row r="247" spans="1:18" x14ac:dyDescent="0.2">
      <c r="A247" s="22"/>
      <c r="B247" s="7"/>
      <c r="C247" s="6"/>
      <c r="D247" s="6"/>
      <c r="E247" s="6"/>
      <c r="F247" s="22"/>
      <c r="H247" s="22"/>
      <c r="I247" s="7"/>
      <c r="J247" s="6"/>
      <c r="K247" s="6"/>
      <c r="L247" s="6"/>
      <c r="N247"/>
      <c r="O247"/>
      <c r="P247"/>
      <c r="Q247"/>
      <c r="R247"/>
    </row>
    <row r="248" spans="1:18" x14ac:dyDescent="0.2">
      <c r="A248" s="22"/>
      <c r="B248" s="7"/>
      <c r="C248" s="6"/>
      <c r="D248" s="6"/>
      <c r="E248" s="6"/>
      <c r="F248" s="22"/>
      <c r="H248" s="22"/>
      <c r="I248" s="6"/>
      <c r="J248" s="6"/>
      <c r="K248" s="6"/>
      <c r="L248" s="6"/>
      <c r="N248"/>
      <c r="O248"/>
      <c r="P248"/>
      <c r="Q248"/>
      <c r="R248"/>
    </row>
    <row r="249" spans="1:18" x14ac:dyDescent="0.2">
      <c r="A249" s="22"/>
      <c r="B249" s="7"/>
      <c r="C249" s="6"/>
      <c r="D249" s="6"/>
      <c r="E249" s="6"/>
      <c r="F249" s="22"/>
      <c r="H249" s="22"/>
      <c r="I249" s="6"/>
      <c r="J249" s="6"/>
      <c r="K249" s="6"/>
      <c r="L249" s="6"/>
      <c r="N249"/>
      <c r="O249"/>
      <c r="P249"/>
      <c r="Q249"/>
      <c r="R249"/>
    </row>
    <row r="250" spans="1:18" x14ac:dyDescent="0.2">
      <c r="A250" s="22"/>
      <c r="B250" s="7"/>
      <c r="C250" s="6"/>
      <c r="D250" s="6"/>
      <c r="E250" s="6"/>
      <c r="F250" s="22"/>
      <c r="H250" s="22"/>
      <c r="I250" s="6"/>
      <c r="J250" s="6"/>
      <c r="K250" s="6"/>
      <c r="L250" s="6"/>
      <c r="N250"/>
      <c r="O250"/>
      <c r="P250"/>
      <c r="Q250"/>
      <c r="R250"/>
    </row>
    <row r="251" spans="1:18" x14ac:dyDescent="0.2">
      <c r="A251" s="22"/>
      <c r="B251" s="7"/>
      <c r="C251" s="6"/>
      <c r="D251" s="6"/>
      <c r="E251" s="6"/>
      <c r="F251" s="22"/>
      <c r="H251" s="22"/>
      <c r="I251" s="6"/>
      <c r="J251" s="6"/>
      <c r="K251" s="6"/>
      <c r="L251" s="6"/>
      <c r="N251"/>
      <c r="O251"/>
      <c r="P251"/>
      <c r="Q251"/>
      <c r="R251"/>
    </row>
    <row r="252" spans="1:18" x14ac:dyDescent="0.2">
      <c r="A252" s="22"/>
      <c r="B252" s="7"/>
      <c r="C252" s="6"/>
      <c r="D252" s="6"/>
      <c r="E252" s="6"/>
      <c r="F252" s="22"/>
      <c r="H252" s="22"/>
      <c r="I252" s="6"/>
      <c r="J252" s="6"/>
      <c r="K252" s="6"/>
      <c r="L252" s="6"/>
      <c r="N252"/>
      <c r="O252"/>
      <c r="P252"/>
      <c r="Q252"/>
      <c r="R252"/>
    </row>
    <row r="253" spans="1:18" x14ac:dyDescent="0.2">
      <c r="A253" s="22"/>
      <c r="B253" s="7"/>
      <c r="C253" s="6"/>
      <c r="D253" s="6"/>
      <c r="E253" s="6"/>
      <c r="F253" s="22"/>
      <c r="H253" s="22"/>
      <c r="I253" s="6"/>
      <c r="J253" s="6"/>
      <c r="K253" s="6"/>
      <c r="L253" s="6"/>
      <c r="N253"/>
      <c r="O253"/>
      <c r="P253"/>
      <c r="Q253"/>
      <c r="R253"/>
    </row>
    <row r="254" spans="1:18" x14ac:dyDescent="0.2">
      <c r="A254" s="22"/>
      <c r="B254" s="7"/>
      <c r="C254" s="6"/>
      <c r="D254" s="6"/>
      <c r="E254" s="6"/>
      <c r="F254" s="22"/>
      <c r="H254" s="22"/>
      <c r="I254" s="6"/>
      <c r="J254" s="6"/>
      <c r="K254" s="6"/>
      <c r="L254" s="6"/>
      <c r="N254"/>
      <c r="O254"/>
      <c r="P254"/>
      <c r="Q254"/>
      <c r="R254"/>
    </row>
    <row r="255" spans="1:18" x14ac:dyDescent="0.2">
      <c r="A255" s="22"/>
      <c r="B255" s="6"/>
      <c r="C255" s="6"/>
      <c r="D255" s="8"/>
      <c r="E255" s="8"/>
      <c r="F255" s="22"/>
      <c r="H255" s="22"/>
      <c r="I255" s="6"/>
      <c r="J255" s="6"/>
      <c r="K255" s="6"/>
      <c r="L255" s="6"/>
      <c r="N255"/>
      <c r="O255"/>
      <c r="P255"/>
      <c r="Q255"/>
      <c r="R255"/>
    </row>
    <row r="256" spans="1:18" x14ac:dyDescent="0.2">
      <c r="A256" s="22"/>
      <c r="B256" s="7"/>
      <c r="C256" s="6"/>
      <c r="D256" s="6"/>
      <c r="E256" s="6"/>
      <c r="F256" s="22"/>
      <c r="H256" s="22"/>
      <c r="I256" s="6"/>
      <c r="J256" s="6"/>
      <c r="K256" s="6"/>
      <c r="L256" s="6"/>
      <c r="N256"/>
      <c r="O256"/>
      <c r="P256"/>
      <c r="Q256"/>
      <c r="R256"/>
    </row>
    <row r="257" spans="1:18" x14ac:dyDescent="0.2">
      <c r="A257" s="22"/>
      <c r="B257" s="7"/>
      <c r="C257" s="6"/>
      <c r="D257" s="6"/>
      <c r="E257" s="6"/>
      <c r="F257" s="22"/>
      <c r="H257" s="22"/>
      <c r="I257" s="6"/>
      <c r="J257" s="6"/>
      <c r="K257" s="6"/>
      <c r="L257" s="6"/>
      <c r="N257"/>
      <c r="O257"/>
      <c r="P257"/>
      <c r="Q257"/>
      <c r="R257"/>
    </row>
    <row r="258" spans="1:18" x14ac:dyDescent="0.2">
      <c r="A258" s="22"/>
      <c r="B258" s="6"/>
      <c r="C258" s="6"/>
      <c r="D258" s="6"/>
      <c r="E258" s="6"/>
      <c r="F258" s="22"/>
      <c r="H258" s="22"/>
      <c r="I258" s="6"/>
      <c r="J258" s="6"/>
      <c r="K258" s="6"/>
      <c r="L258" s="6"/>
      <c r="N258"/>
      <c r="O258"/>
      <c r="P258"/>
      <c r="Q258"/>
      <c r="R258"/>
    </row>
    <row r="259" spans="1:18" x14ac:dyDescent="0.2">
      <c r="A259" s="22"/>
      <c r="B259" s="7"/>
      <c r="C259" s="6"/>
      <c r="D259" s="6"/>
      <c r="E259" s="6"/>
      <c r="F259" s="22"/>
      <c r="H259" s="22"/>
      <c r="I259" s="6"/>
      <c r="J259" s="6"/>
      <c r="K259" s="6"/>
      <c r="L259" s="6"/>
      <c r="N259"/>
      <c r="O259"/>
      <c r="P259"/>
      <c r="Q259"/>
      <c r="R259"/>
    </row>
    <row r="260" spans="1:18" x14ac:dyDescent="0.2">
      <c r="A260" s="22"/>
      <c r="B260" s="7"/>
      <c r="C260" s="6"/>
      <c r="D260" s="6"/>
      <c r="E260" s="6"/>
      <c r="F260" s="22"/>
      <c r="H260" s="22"/>
      <c r="I260" s="6"/>
      <c r="J260" s="6"/>
      <c r="K260" s="6"/>
      <c r="L260" s="6"/>
      <c r="N260"/>
      <c r="O260"/>
      <c r="P260"/>
      <c r="Q260"/>
      <c r="R260"/>
    </row>
    <row r="261" spans="1:18" x14ac:dyDescent="0.2">
      <c r="A261" s="22"/>
      <c r="B261" s="7"/>
      <c r="C261" s="6"/>
      <c r="D261" s="6"/>
      <c r="E261" s="6"/>
      <c r="F261" s="22"/>
      <c r="H261" s="22"/>
      <c r="I261" s="6"/>
      <c r="J261" s="6"/>
      <c r="K261" s="6"/>
      <c r="L261" s="6"/>
      <c r="N261"/>
      <c r="O261"/>
      <c r="P261"/>
      <c r="Q261"/>
      <c r="R261"/>
    </row>
    <row r="262" spans="1:18" x14ac:dyDescent="0.2">
      <c r="A262" s="22"/>
      <c r="B262" s="7"/>
      <c r="C262" s="6"/>
      <c r="D262" s="6"/>
      <c r="E262" s="6"/>
      <c r="F262" s="22"/>
      <c r="H262" s="22"/>
      <c r="I262" s="6"/>
      <c r="J262" s="6"/>
      <c r="K262" s="6"/>
      <c r="L262" s="6"/>
      <c r="N262"/>
      <c r="O262"/>
      <c r="P262"/>
      <c r="Q262"/>
      <c r="R262"/>
    </row>
    <row r="263" spans="1:18" x14ac:dyDescent="0.2">
      <c r="A263" s="22"/>
      <c r="B263" s="7"/>
      <c r="C263" s="6"/>
      <c r="D263" s="6"/>
      <c r="E263" s="6"/>
      <c r="F263" s="22"/>
      <c r="N263"/>
      <c r="O263"/>
      <c r="P263"/>
      <c r="Q263"/>
      <c r="R263"/>
    </row>
    <row r="264" spans="1:18" x14ac:dyDescent="0.2">
      <c r="A264" s="22"/>
      <c r="B264" s="6"/>
      <c r="C264" s="6"/>
      <c r="D264" s="6"/>
      <c r="E264" s="6"/>
      <c r="F264" s="22"/>
      <c r="N264"/>
      <c r="O264"/>
      <c r="P264"/>
      <c r="Q264"/>
      <c r="R264"/>
    </row>
    <row r="265" spans="1:18" x14ac:dyDescent="0.2">
      <c r="A265" s="22"/>
      <c r="B265" s="6"/>
      <c r="C265" s="6"/>
      <c r="D265" s="6"/>
      <c r="E265" s="6"/>
      <c r="F265" s="22"/>
      <c r="N265"/>
      <c r="O265"/>
      <c r="P265"/>
      <c r="Q265"/>
      <c r="R265"/>
    </row>
    <row r="266" spans="1:18" x14ac:dyDescent="0.2">
      <c r="A266" s="22"/>
      <c r="B266" s="6"/>
      <c r="C266" s="6"/>
      <c r="D266" s="6"/>
      <c r="E266" s="6"/>
      <c r="F266" s="22"/>
      <c r="N266"/>
      <c r="O266"/>
      <c r="P266"/>
      <c r="Q266"/>
      <c r="R266"/>
    </row>
    <row r="267" spans="1:18" x14ac:dyDescent="0.2">
      <c r="A267" s="22"/>
      <c r="B267" s="6"/>
      <c r="C267" s="6"/>
      <c r="D267" s="6"/>
      <c r="E267" s="6"/>
      <c r="F267" s="22"/>
      <c r="N267"/>
      <c r="O267"/>
      <c r="P267"/>
      <c r="Q267"/>
      <c r="R267"/>
    </row>
    <row r="268" spans="1:18" x14ac:dyDescent="0.2">
      <c r="A268" s="22"/>
      <c r="B268" s="6"/>
      <c r="C268" s="6"/>
      <c r="D268" s="6"/>
      <c r="E268" s="6"/>
      <c r="F268" s="22"/>
      <c r="N268"/>
      <c r="O268"/>
      <c r="P268"/>
      <c r="Q268"/>
      <c r="R268"/>
    </row>
    <row r="269" spans="1:18" x14ac:dyDescent="0.2">
      <c r="A269" s="22"/>
      <c r="B269" s="6"/>
      <c r="C269" s="6"/>
      <c r="D269" s="6"/>
      <c r="E269" s="6"/>
      <c r="F269" s="22"/>
      <c r="N269"/>
      <c r="O269"/>
      <c r="P269"/>
      <c r="Q269"/>
      <c r="R269"/>
    </row>
    <row r="270" spans="1:18" x14ac:dyDescent="0.2">
      <c r="A270" s="22"/>
      <c r="B270" s="6"/>
      <c r="C270" s="6"/>
      <c r="D270" s="6"/>
      <c r="E270" s="6"/>
      <c r="F270" s="22"/>
      <c r="N270"/>
      <c r="O270"/>
      <c r="P270"/>
      <c r="Q270"/>
      <c r="R270"/>
    </row>
    <row r="271" spans="1:18" x14ac:dyDescent="0.2">
      <c r="A271" s="22"/>
      <c r="B271" s="6"/>
      <c r="C271" s="6"/>
      <c r="D271" s="6"/>
      <c r="E271" s="6"/>
      <c r="F271" s="22"/>
      <c r="N271"/>
      <c r="O271"/>
      <c r="P271"/>
      <c r="Q271"/>
      <c r="R271"/>
    </row>
    <row r="272" spans="1:18" x14ac:dyDescent="0.2">
      <c r="A272" s="22"/>
      <c r="B272" s="6"/>
      <c r="C272" s="6"/>
      <c r="D272" s="6"/>
      <c r="E272" s="6"/>
      <c r="F272" s="22"/>
      <c r="N272"/>
      <c r="O272"/>
      <c r="P272"/>
      <c r="Q272"/>
      <c r="R272"/>
    </row>
    <row r="273" spans="1:6" x14ac:dyDescent="0.2">
      <c r="A273" s="22"/>
      <c r="B273" s="6"/>
      <c r="C273" s="6"/>
      <c r="D273" s="6"/>
      <c r="E273" s="6"/>
      <c r="F273" s="22"/>
    </row>
    <row r="274" spans="1:6" x14ac:dyDescent="0.2">
      <c r="A274" s="22"/>
      <c r="B274" s="6"/>
      <c r="C274" s="6"/>
      <c r="D274" s="6"/>
      <c r="E274" s="6"/>
      <c r="F274" s="22"/>
    </row>
    <row r="275" spans="1:6" x14ac:dyDescent="0.2">
      <c r="A275" s="22"/>
      <c r="B275" s="6"/>
      <c r="C275" s="6"/>
      <c r="D275" s="6"/>
      <c r="E275" s="6"/>
      <c r="F275" s="22"/>
    </row>
    <row r="276" spans="1:6" x14ac:dyDescent="0.2">
      <c r="A276" s="22"/>
      <c r="B276" s="6"/>
      <c r="C276" s="6"/>
      <c r="D276" s="6"/>
      <c r="E276" s="6"/>
      <c r="F276" s="22"/>
    </row>
    <row r="277" spans="1:6" x14ac:dyDescent="0.2">
      <c r="A277" s="22"/>
      <c r="B277" s="6"/>
      <c r="C277" s="6"/>
      <c r="D277" s="6"/>
      <c r="E277" s="6"/>
      <c r="F277" s="22"/>
    </row>
    <row r="278" spans="1:6" x14ac:dyDescent="0.2">
      <c r="A278" s="22"/>
      <c r="B278" s="6"/>
      <c r="C278" s="6"/>
      <c r="D278" s="6"/>
      <c r="E278" s="6"/>
      <c r="F278" s="22"/>
    </row>
  </sheetData>
  <mergeCells count="2">
    <mergeCell ref="A1:F1"/>
    <mergeCell ref="H1:M1"/>
  </mergeCells>
  <conditionalFormatting sqref="N273:O391 R273:R391 R3:S3 S4:S272 R4:R177 N3:O177">
    <cfRule type="containsText" dxfId="1" priority="10" operator="containsText" text=":">
      <formula>NOT(ISERROR(SEARCH(":",N3)))</formula>
    </cfRule>
  </conditionalFormatting>
  <hyperlinks>
    <hyperlink ref="E145" r:id="rId1" tooltip="A6-EQL" display="https://www.flightradar24.com/data/aircraft/a6-eql" xr:uid="{211AB2A4-2699-3340-A94D-E71E6B12C9A7}"/>
    <hyperlink ref="D145" r:id="rId2" tooltip="Emirates" display="https://www.flightradar24.com/data/airlines/ek-uae" xr:uid="{F29CCA10-286E-CE47-B99F-D867E48980A1}"/>
    <hyperlink ref="C145" r:id="rId3" tooltip="Dubai International Airport, United Arab Emirates" display="https://www.flightradar24.com/data/airports/dxb" xr:uid="{254F15BC-295B-F543-AD6B-8DF7FDC4A3D9}"/>
    <hyperlink ref="E104" r:id="rId4" tooltip="TC-JTR" display="https://www.flightradar24.com/data/aircraft/tc-jtr" xr:uid="{95DF3485-776D-6348-B15B-8B17F08ACF2D}"/>
    <hyperlink ref="D104" r:id="rId5" tooltip="Turkish Airlines" display="https://www.flightradar24.com/data/airlines/tk-thy" xr:uid="{23B5C794-218F-BB45-9965-DD1F2D2E1F15}"/>
    <hyperlink ref="C104" r:id="rId6" tooltip="Istanbul Airport, Turkey" display="https://www.flightradar24.com/data/airports/ist" xr:uid="{8C2517CB-1B81-E546-8F15-CE4F234ADD8D}"/>
    <hyperlink ref="E172" r:id="rId7" tooltip="D-CICU" display="https://www.flightradar24.com/data/aircraft/d-cicu" xr:uid="{5EC559EB-621E-9043-BD07-D84A10A6A25C}"/>
    <hyperlink ref="D172" r:id="rId8" tooltip="Unicair" display="https://www.flightradar24.com/data/airlines/-uni" xr:uid="{06CCAAB5-F526-294B-B8BD-3B24E189FBC4}"/>
    <hyperlink ref="C172" r:id="rId9" tooltip="Fes Saiss Airport, Morocco" display="https://www.flightradar24.com/data/airports/fez" xr:uid="{F5F69124-A5C2-2F4B-AA27-9E95935AA1B3}"/>
    <hyperlink ref="B172" r:id="rId10" tooltip="UNI132" display="https://www.flightradar24.com/data/flights/uni132" xr:uid="{111D8BB3-4236-984F-9555-0EC5264486E7}"/>
    <hyperlink ref="E122" r:id="rId11" tooltip="CN-RGW" display="https://www.flightradar24.com/data/aircraft/cn-rgw" xr:uid="{146B6FB4-9BB6-ED48-96C8-62A49452D96C}"/>
    <hyperlink ref="D122" r:id="rId12" tooltip="Royal Air Maroc" display="https://www.flightradar24.com/data/airlines/at-ram" xr:uid="{BA31541C-CAB4-C245-B6E6-6A4D3B96B29F}"/>
    <hyperlink ref="C122" r:id="rId13" tooltip="Casablanca Mohammed V International Airport, Morocco" display="https://www.flightradar24.com/data/airports/cmn" xr:uid="{77E016FB-C812-064E-9F68-77A2F88B4424}"/>
    <hyperlink ref="B122" r:id="rId14" tooltip="AT832" display="https://www.flightradar24.com/data/flights/at832" xr:uid="{853B0882-600B-B54C-8EEC-38E83DC8FBAD}"/>
    <hyperlink ref="E173" r:id="rId15" tooltip="LX-TWO" display="https://www.flightradar24.com/data/aircraft/lx-two" xr:uid="{8CC42C63-D98E-2E4B-9B11-4A736D6BB9BA}"/>
    <hyperlink ref="D173" r:id="rId16" tooltip="Luxembourg Air Ambulance" display="https://www.flightradar24.com/data/airlines/-lrq" xr:uid="{57AF833A-9253-2D48-81ED-A064BFE50672}"/>
    <hyperlink ref="C173" r:id="rId17" tooltip="Al Hoceima Cherif Al Idrissi Airport, Morocco" display="https://www.flightradar24.com/data/airports/ahu" xr:uid="{978DAEAC-93BB-6849-9F6A-FF635D1653A3}"/>
    <hyperlink ref="B173" r:id="rId18" display="https://www.flightradar24.com/data/flights/" xr:uid="{06417838-9224-EE42-BC9D-CBFA63015246}"/>
    <hyperlink ref="E99" r:id="rId19" tooltip="TS-INO" display="https://www.flightradar24.com/data/aircraft/ts-ino" xr:uid="{66ABBE19-5E6D-9844-9676-2A458647803D}"/>
    <hyperlink ref="D99" r:id="rId20" tooltip="Nouvelair" display="https://www.flightradar24.com/data/airlines/bj-lbt" xr:uid="{E16FB023-1D7C-794D-85F1-78EEAFE3A0AD}"/>
    <hyperlink ref="C99" r:id="rId21" tooltip="Tunis Carthage International Airport, Tunisia" display="https://www.flightradar24.com/data/airports/tun" xr:uid="{27DC1171-A639-9441-A8EB-B07E7A231C4B}"/>
    <hyperlink ref="B99" r:id="rId22" tooltip="BJ396" display="https://www.flightradar24.com/data/flights/bj396" xr:uid="{85A3C902-F130-E741-9EAF-6892F39B5005}"/>
    <hyperlink ref="E138" r:id="rId23" tooltip="TC-SPJ" display="https://www.flightradar24.com/data/aircraft/tc-spj" xr:uid="{798672A5-0FFD-094C-B75C-F775468D930F}"/>
    <hyperlink ref="D138" r:id="rId24" tooltip="SunExpress" display="https://www.flightradar24.com/data/airlines/xq-sxs" xr:uid="{A48A1958-1CDF-3A4F-AA40-C475C8777294}"/>
    <hyperlink ref="C138" r:id="rId25" tooltip="Antalya Airport, Turkey" display="https://www.flightradar24.com/data/airports/ayt" xr:uid="{999A777C-6D01-F440-BB04-0DE82BCD6950}"/>
    <hyperlink ref="E66" r:id="rId26" tooltip="ES-SAA" display="https://www.flightradar24.com/data/aircraft/es-saa" xr:uid="{1361CB62-0236-A747-8FD3-E43530FB663E}"/>
    <hyperlink ref="D66" r:id="rId27" tooltip="SmartLynx" display="https://www.flightradar24.com/data/airlines/6y-art" xr:uid="{9F651E8A-3A4D-BB49-8890-1DB2ABB089D5}"/>
    <hyperlink ref="C66" r:id="rId28" tooltip="Tenerife South Airport, Spain" display="https://www.flightradar24.com/data/airports/tfs" xr:uid="{8641BF42-3682-4149-A67B-84FA2A778992}"/>
    <hyperlink ref="B66" r:id="rId29" tooltip="TB1752" display="https://www.flightradar24.com/data/flights/tb1752" xr:uid="{ED55206E-7C72-9943-98C4-368B7A33D26A}"/>
    <hyperlink ref="E89" r:id="rId30" tooltip="OO-SNP" display="https://www.flightradar24.com/data/aircraft/oo-snp" xr:uid="{4FB5B29D-0538-BD4C-AB4D-56A02ECDCAB0}"/>
    <hyperlink ref="D89" r:id="rId31" tooltip="Brussels Airlines (Star Alliance Livery)" display="https://www.flightradar24.com/data/airlines/sn-bel" xr:uid="{0E89495A-17CA-534E-9412-C847FC542921}"/>
    <hyperlink ref="C89" r:id="rId32" tooltip="Porto Francisco de Sa Carneiro Airport, Portugal" display="https://www.flightradar24.com/data/airports/opo" xr:uid="{D7B11352-5601-7245-A408-9F2D4DADABF7}"/>
    <hyperlink ref="E72" r:id="rId33" tooltip="OE-IJR" display="https://www.flightradar24.com/data/aircraft/oe-ijr" xr:uid="{315DC65C-A2C4-AC43-BB61-D266EAD07605}"/>
    <hyperlink ref="D72" r:id="rId34" tooltip="easyJet" display="https://www.flightradar24.com/data/airlines/u2-ezy" xr:uid="{F41018D9-4594-F041-AEC8-3FD4A886EF70}"/>
    <hyperlink ref="C72" r:id="rId35" tooltip="Nice Cote d'Azur Airport, France" display="https://www.flightradar24.com/data/airports/nce" xr:uid="{0428350E-3039-8744-A3C9-A4F6E326375B}"/>
    <hyperlink ref="B72" r:id="rId36" tooltip="U21747" display="https://www.flightradar24.com/data/flights/u21747" xr:uid="{16333EEA-033A-4443-BC2B-B9AF84DD283E}"/>
    <hyperlink ref="E136" r:id="rId37" tooltip="TC-SPA" display="https://www.flightradar24.com/data/aircraft/tc-spa" xr:uid="{6503E164-7971-CD44-AE8F-AF00B12B47BF}"/>
    <hyperlink ref="D136" r:id="rId38" tooltip="SunExpress" display="https://www.flightradar24.com/data/airlines/xq-sxs" xr:uid="{8EAC72EE-074B-CC41-AF49-3E1C67C1B903}"/>
    <hyperlink ref="C136" r:id="rId39" tooltip="Eskisehir Airport, Turkey" display="https://www.flightradar24.com/data/airports/aoe" xr:uid="{8D7EDD95-0952-7B49-A173-3B1AC3D73DE5}"/>
    <hyperlink ref="B136" r:id="rId40" tooltip="XQ4" display="https://www.flightradar24.com/data/flights/xq4" xr:uid="{806D16E7-9FCF-9840-BEE2-160CEFC83F5E}"/>
    <hyperlink ref="E7" r:id="rId41" tooltip="OO-SBB" display="https://www.flightradar24.com/data/aircraft/oo-sbb" xr:uid="{5016D2F3-4438-EE43-BC6D-005275E20887}"/>
    <hyperlink ref="D7" r:id="rId42" tooltip="Brussels Airlines (Amare Tomorrowland Livery)" display="https://www.flightradar24.com/data/airlines/sn-bel" xr:uid="{2E2E5C5E-5666-124F-87B9-B736337B5D8E}"/>
    <hyperlink ref="C7" r:id="rId43" tooltip="Faro Airport, Portugal" display="https://www.flightradar24.com/data/airports/fao" xr:uid="{6F9D4062-81E0-2243-983B-41F6EE8D28F6}"/>
    <hyperlink ref="E20" r:id="rId44" tooltip="D-AIBF" display="https://www.flightradar24.com/data/aircraft/d-aibf" xr:uid="{C0739545-DBA8-444A-80A4-BA50DDC22562}"/>
    <hyperlink ref="D20" r:id="rId45" tooltip="Lufthansa" display="https://www.flightradar24.com/data/airlines/lh-dlh" xr:uid="{76FC7FB3-BFD5-6041-A86B-CF50545985AD}"/>
    <hyperlink ref="C20" r:id="rId46" tooltip="Munich Airport, Germany" display="https://www.flightradar24.com/data/airports/muc" xr:uid="{044C5CE6-9C0F-F34E-B4FB-9CF46AD402E6}"/>
    <hyperlink ref="E95" r:id="rId47" tooltip="OO-TCV" display="https://www.flightradar24.com/data/aircraft/oo-tcv" xr:uid="{B0573A53-19A0-C64A-948B-DB9534A55867}"/>
    <hyperlink ref="D95" r:id="rId48" tooltip="Brussels Airlines (Yes to Europe Livery)" display="https://www.flightradar24.com/data/airlines/sn-bel" xr:uid="{F8C12D87-7E8A-8D4B-A4F6-754F0B1F88A5}"/>
    <hyperlink ref="C95" r:id="rId49" tooltip="Lisbon Humberto Delgado Airport, Portugal" display="https://www.flightradar24.com/data/airports/lis" xr:uid="{8096DF13-14C4-2647-B3FA-CC69296BA33D}"/>
    <hyperlink ref="E51" r:id="rId50" tooltip="OO-SSY" display="https://www.flightradar24.com/data/aircraft/oo-ssy" xr:uid="{43943994-D1C0-1E4E-BBF7-64CF08028B5A}"/>
    <hyperlink ref="D51" r:id="rId51" tooltip="Brussels Airlines (Star Alliance Livery)" display="https://www.flightradar24.com/data/airlines/sn-bel" xr:uid="{3D947BAC-D5C5-8E4E-9735-7F38EF779451}"/>
    <hyperlink ref="C51" r:id="rId52" tooltip="Bilbao Airport, Spain" display="https://www.flightradar24.com/data/airports/bio" xr:uid="{082ED71B-83D7-EC4C-B814-0F8CA7B092CF}"/>
    <hyperlink ref="B51" r:id="rId53" tooltip="SN3712" display="https://www.flightradar24.com/data/flights/sn3712" xr:uid="{EFB6FB22-7CC7-1543-9E1B-DC27B904D3DD}"/>
    <hyperlink ref="E5" r:id="rId54" tooltip="LN-RGM" display="https://www.flightradar24.com/data/aircraft/ln-rgm" xr:uid="{6258B419-5087-734E-9C41-51E8750FCE58}"/>
    <hyperlink ref="D5" r:id="rId55" tooltip="SAS" display="https://www.flightradar24.com/data/airlines/sk-sas" xr:uid="{69E117F4-66B4-BA4F-8791-BB63D6A2018B}"/>
    <hyperlink ref="C5" r:id="rId56" tooltip="Copenhagen Airport, Denmark" display="https://www.flightradar24.com/data/airports/cph" xr:uid="{1F35371D-0D63-1E41-A69B-71215D5D02E8}"/>
    <hyperlink ref="E35" r:id="rId57" tooltip="OO-SSN" display="https://www.flightradar24.com/data/aircraft/oo-ssn" xr:uid="{827F7FEB-B184-CF4F-8A62-C2285C011761}"/>
    <hyperlink ref="D35" r:id="rId58" tooltip="Brussels Airlines" display="https://www.flightradar24.com/data/airlines/sn-bel" xr:uid="{91C5B924-915A-F346-8B4D-7538A482B7E7}"/>
    <hyperlink ref="C35" r:id="rId59" tooltip="Marseille Provence Airport, France" display="https://www.flightradar24.com/data/airports/mrs" xr:uid="{6DCB9276-DD28-FB4B-886A-16648FE3BD0C}"/>
    <hyperlink ref="B35" r:id="rId60" tooltip="SN3598" display="https://www.flightradar24.com/data/flights/sn3598" xr:uid="{33612538-8760-6C4A-ACA5-7284D74CD844}"/>
    <hyperlink ref="E134" r:id="rId61" tooltip="SU-GED" display="https://www.flightradar24.com/data/aircraft/su-ged" xr:uid="{CA0D052B-F7E7-6547-A0C9-011677EA2228}"/>
    <hyperlink ref="D134" r:id="rId62" tooltip="Egyptair" display="https://www.flightradar24.com/data/airlines/ms-msr" xr:uid="{B82B9EE2-2C03-1448-A0C7-A0B2A87A944E}"/>
    <hyperlink ref="C134" r:id="rId63" tooltip="Cairo International Airport, Egypt" display="https://www.flightradar24.com/data/airports/cai" xr:uid="{070269A2-D863-DA47-9705-D08F38CA7962}"/>
    <hyperlink ref="E19" r:id="rId64" tooltip="CS-TTP" display="https://www.flightradar24.com/data/aircraft/cs-ttp" xr:uid="{E146828A-76C2-C846-AB7D-F2D5BA20ED61}"/>
    <hyperlink ref="D19" r:id="rId65" tooltip="TAP Air Portugal" display="https://www.flightradar24.com/data/airlines/tp-tap" xr:uid="{63E54DCB-85A2-E44F-8C59-881F68DEC8BB}"/>
    <hyperlink ref="C19" r:id="rId66" tooltip="Lisbon Humberto Delgado Airport, Portugal" display="https://www.flightradar24.com/data/airports/lis" xr:uid="{100566FC-9A06-034E-AE13-EEF102ACDAB0}"/>
    <hyperlink ref="E47" r:id="rId67" tooltip="OO-SSW" display="https://www.flightradar24.com/data/aircraft/oo-ssw" xr:uid="{6484EBCB-5900-154A-B432-ED10FC512EBF}"/>
    <hyperlink ref="D47" r:id="rId68" tooltip="Brussels Airlines" display="https://www.flightradar24.com/data/airlines/sn-bel" xr:uid="{183C8DCB-5E2A-5C41-8D21-9154A779B1B1}"/>
    <hyperlink ref="C47" r:id="rId69" tooltip="Stockholm Arlanda Airport, Sweden" display="https://www.flightradar24.com/data/airports/arn" xr:uid="{75042C65-F675-ED4D-8E00-AD0DDB23A77C}"/>
    <hyperlink ref="B47" r:id="rId70" tooltip="SN2292" display="https://www.flightradar24.com/data/flights/sn2292" xr:uid="{327EB8A9-4A87-E242-BE24-6D7DFAD85E45}"/>
    <hyperlink ref="E160" r:id="rId71" tooltip="OE-FWF" display="https://www.flightradar24.com/data/aircraft/oe-fwf" xr:uid="{D60B013D-08CA-2746-A9A2-7DC521C1AA6D}"/>
    <hyperlink ref="D160" r:id="rId72" tooltip="GlobeAir" display="https://www.flightradar24.com/data/airlines/-gac" xr:uid="{878663EF-F024-304C-8F6E-766DAD1FF99B}"/>
    <hyperlink ref="C160" r:id="rId73" tooltip="Zurich Airport, Switzerland" display="https://www.flightradar24.com/data/airports/zrh" xr:uid="{4D687F3A-AAB0-B04E-8740-890B939DEB45}"/>
    <hyperlink ref="B160" r:id="rId74" display="https://www.flightradar24.com/data/flights/" xr:uid="{7F23D332-62EC-B249-AC57-18581666C8C4}"/>
    <hyperlink ref="E39" r:id="rId75" tooltip="OO-SSQ" display="https://www.flightradar24.com/data/aircraft/oo-ssq" xr:uid="{3F99BAA9-30B1-A94E-A1E9-E6EBEB5E9FFB}"/>
    <hyperlink ref="D39" r:id="rId76" tooltip="Brussels Airlines" display="https://www.flightradar24.com/data/airlines/sn-bel" xr:uid="{CDFA9D90-B3FE-D247-B54F-FD9D552D799C}"/>
    <hyperlink ref="C39" r:id="rId77" tooltip="Edinburgh Airport, United Kingdom" display="https://www.flightradar24.com/data/airports/edi" xr:uid="{0EC30006-ADDF-4646-87C5-06933FBB5DC2}"/>
    <hyperlink ref="E147" r:id="rId78" tooltip="A7-BDD" display="https://www.flightradar24.com/data/aircraft/a7-bdd" xr:uid="{6A5A25C5-8B9A-FB48-BC2F-5B3B9F90CBD1}"/>
    <hyperlink ref="D147" r:id="rId79" tooltip="Qatar Airways" display="https://www.flightradar24.com/data/airlines/qr-qtr" xr:uid="{AD241F14-5BBD-8048-9D5B-2E66C6729F41}"/>
    <hyperlink ref="C147" r:id="rId80" tooltip="Doha Hamad International Airport, Qatar" display="https://www.flightradar24.com/data/airports/doh" xr:uid="{9C8B9094-4049-3F4F-B33C-300191B89346}"/>
    <hyperlink ref="E87" r:id="rId81" tooltip="OO-SNN" display="https://www.flightradar24.com/data/aircraft/oo-snn" xr:uid="{CA0C6C0D-A18B-244A-AFDB-9FAB4619AFDA}"/>
    <hyperlink ref="D87" r:id="rId82" tooltip="Brussels Airlines" display="https://www.flightradar24.com/data/airlines/sn-bel" xr:uid="{8825B402-B8EA-5043-A7AB-C06F9B5EA277}"/>
    <hyperlink ref="C87" r:id="rId83" tooltip="Madrid Barajas Airport, Spain" display="https://www.flightradar24.com/data/airports/mad" xr:uid="{25DD0A69-552F-FD4C-9A2C-44F21964E218}"/>
    <hyperlink ref="B87" r:id="rId84" tooltip="SN3722" display="https://www.flightradar24.com/data/flights/sn3722" xr:uid="{7110FE11-18FC-CB4B-B97B-9B3248B968BF}"/>
    <hyperlink ref="E64" r:id="rId85" tooltip="EC-MXG" display="https://www.flightradar24.com/data/aircraft/ec-mxg" xr:uid="{790E6802-3283-5447-AD86-E99F85056778}"/>
    <hyperlink ref="D64" r:id="rId86" tooltip="Vueling" display="https://www.flightradar24.com/data/airlines/vy-vlg" xr:uid="{B2430333-39AE-1D44-8D84-7838AA911A68}"/>
    <hyperlink ref="C64" r:id="rId87" tooltip="Bilbao Airport, Spain" display="https://www.flightradar24.com/data/airports/bio" xr:uid="{B7E9890F-17A0-3141-B7DB-FA50BEFE4D4A}"/>
    <hyperlink ref="B64" r:id="rId88" tooltip="VY1470" display="https://www.flightradar24.com/data/flights/vy1470" xr:uid="{6A04E068-7FCA-924E-AF89-A89E6828A518}"/>
    <hyperlink ref="E125" r:id="rId89" tooltip="EI-EBY" display="https://www.flightradar24.com/data/aircraft/ei-eby" xr:uid="{6FDCB7AA-B1A0-494E-A2A9-5DA521A744B7}"/>
    <hyperlink ref="D125" r:id="rId90" tooltip="Ryanair" display="https://www.flightradar24.com/data/airlines/fr-ryr" xr:uid="{84D0082C-C3E3-284D-8172-CB64D7A8891B}"/>
    <hyperlink ref="C125" r:id="rId91" tooltip="Dublin Airport, Ireland" display="https://www.flightradar24.com/data/airports/dub" xr:uid="{2FDA616A-27E4-6142-ABFB-DA64B6DA41C0}"/>
    <hyperlink ref="B125" r:id="rId92" tooltip="FR1452" display="https://www.flightradar24.com/data/flights/fr1452" xr:uid="{89C88B50-E44C-2D45-B3E2-51DF1C7B49E2}"/>
    <hyperlink ref="E156" r:id="rId93" tooltip="EI-HHP" display="https://www.flightradar24.com/data/aircraft/ei-hhp" xr:uid="{1E8D632D-CA76-A148-BCEE-BCCC8B406A28}"/>
    <hyperlink ref="D156" r:id="rId94" tooltip="ITA Airways" display="https://www.flightradar24.com/data/airlines/az-ity" xr:uid="{4FBCDEBC-4A44-594E-878E-CC2F081FCF6D}"/>
    <hyperlink ref="C156" r:id="rId95" tooltip="Milan Linate Airport, Italy" display="https://www.flightradar24.com/data/airports/lin" xr:uid="{BFAFB926-BBCE-E848-A953-6BFC42DF39A1}"/>
    <hyperlink ref="B156" r:id="rId96" tooltip="AZ150" display="https://www.flightradar24.com/data/flights/az150" xr:uid="{0EB6F50A-27C7-B248-8874-3E1C7319EFD1}"/>
    <hyperlink ref="E97" r:id="rId97" tooltip="TC-FBO" display="https://www.flightradar24.com/data/aircraft/tc-fbo" xr:uid="{22A71C64-03FB-724A-B9D1-49AD1F0FFFC7}"/>
    <hyperlink ref="D97" r:id="rId98" tooltip="Freebird Airlines" display="https://www.flightradar24.com/data/airlines/fh-fhy" xr:uid="{5EFD2049-1569-EE4B-84F6-E764BF99A5E8}"/>
    <hyperlink ref="C97" r:id="rId99" tooltip="Antalya Airport, Turkey" display="https://www.flightradar24.com/data/airports/ayt" xr:uid="{4955E387-0084-564D-A790-DBBC39B54F55}"/>
    <hyperlink ref="B97" r:id="rId100" tooltip="FH8014" display="https://www.flightradar24.com/data/flights/fh8014" xr:uid="{D69672F3-2743-1643-838F-6BDBB36B4725}"/>
    <hyperlink ref="E58" r:id="rId101" tooltip="D-ANNE" display="https://www.flightradar24.com/data/aircraft/d-anne" xr:uid="{136AB499-B2A8-4D45-B495-4CAEABD1E800}"/>
    <hyperlink ref="D58" r:id="rId102" tooltip="Leav Aviation" display="https://www.flightradar24.com/data/airlines/kk-ngn" xr:uid="{1A17081A-5A03-B844-8FD9-90A953CD813E}"/>
    <hyperlink ref="C58" r:id="rId103" tooltip="Rhodes International Airport, Greece" display="https://www.flightradar24.com/data/airports/rho" xr:uid="{DED15D20-AA99-B949-B62F-44ED455307A8}"/>
    <hyperlink ref="B58" r:id="rId104" tooltip="TB2342" display="https://www.flightradar24.com/data/flights/tb2342" xr:uid="{963A20E0-3D97-0747-8976-6F05E0BE4E7F}"/>
    <hyperlink ref="E69" r:id="rId105" tooltip="ES-SAX" display="https://www.flightradar24.com/data/aircraft/es-sax" xr:uid="{E589017B-70BF-124A-B6DB-C419A1949DCA}"/>
    <hyperlink ref="D69" r:id="rId106" tooltip="SmartLynx" display="https://www.flightradar24.com/data/airlines/6y-art" xr:uid="{9894D5DD-7448-EC4E-86C5-ED515F585B66}"/>
    <hyperlink ref="C69" r:id="rId107" tooltip="Kos Island International Airport, Greece" display="https://www.flightradar24.com/data/airports/kgs" xr:uid="{116B670F-EA59-D249-820D-A7926C8DD76D}"/>
    <hyperlink ref="B69" r:id="rId108" tooltip="TB2302" display="https://www.flightradar24.com/data/flights/tb2302" xr:uid="{2D959BBF-A871-AE4A-8BBC-9075C78A3982}"/>
    <hyperlink ref="E171" r:id="rId109" tooltip="PH-EXP" display="https://www.flightradar24.com/data/aircraft/ph-exp" xr:uid="{A16E8B0E-989D-AC4E-AD36-97E0FBA69405}"/>
    <hyperlink ref="D171" r:id="rId110" tooltip="KLM" display="https://www.flightradar24.com/data/airlines/kl-klm" xr:uid="{C45BE784-6FFE-C449-9440-43DC7C1F5419}"/>
    <hyperlink ref="C171" r:id="rId111" tooltip="Amsterdam Schiphol Airport, Netherlands" display="https://www.flightradar24.com/data/airports/ams" xr:uid="{BB9728D2-6DC9-8944-A200-73E1E47D1066}"/>
    <hyperlink ref="E68" r:id="rId112" tooltip="ES-SAW" display="https://www.flightradar24.com/data/aircraft/es-saw" xr:uid="{D5615B98-5413-C845-999F-D531F8A27A83}"/>
    <hyperlink ref="D68" r:id="rId113" tooltip="SmartLynx" display="https://www.flightradar24.com/data/airlines/6y-art" xr:uid="{0D10E87A-F281-B948-B423-2CEE78B86E1A}"/>
    <hyperlink ref="C68" r:id="rId114" tooltip="Heraklion International Airport, Greece" display="https://www.flightradar24.com/data/airports/her" xr:uid="{2810210A-6DBD-3843-8CD0-4F947AC5E0AD}"/>
    <hyperlink ref="B68" r:id="rId115" tooltip="TB2252" display="https://www.flightradar24.com/data/flights/tb2252" xr:uid="{C5C6B189-4453-9141-A935-0302C7DA5338}"/>
    <hyperlink ref="E79" r:id="rId116" tooltip="OO-SNF" display="https://www.flightradar24.com/data/aircraft/oo-snf" xr:uid="{788E38E1-70EB-F545-A984-93CC6F7D2839}"/>
    <hyperlink ref="D79" r:id="rId117" tooltip="Brussels Airlines" display="https://www.flightradar24.com/data/airlines/sn-bel" xr:uid="{64B1F255-47CF-F34A-8F29-3832F1B64B7F}"/>
    <hyperlink ref="C79" r:id="rId118" tooltip="Valencia Airport, Spain" display="https://www.flightradar24.com/data/airports/vlc" xr:uid="{6D1536EA-5EF2-894B-9E99-51F346032BF5}"/>
    <hyperlink ref="B79" r:id="rId119" tooltip="SN3752" display="https://www.flightradar24.com/data/flights/sn3752" xr:uid="{FD69D62F-D2D7-1D41-9E5B-0B78A96FA084}"/>
    <hyperlink ref="E120" r:id="rId120" tooltip="9H-CXB" display="https://www.flightradar24.com/data/aircraft/9h-cxb" xr:uid="{406FB201-5404-574D-BFD2-736C3A1EDC1C}"/>
    <hyperlink ref="D120" r:id="rId121" tooltip="Corendon Airlines" display="https://www.flightradar24.com/data/airlines/xc-cai" xr:uid="{F7061196-0284-4847-964E-9D39DD375745}"/>
    <hyperlink ref="C120" r:id="rId122" tooltip="Heraklion International Airport, Greece" display="https://www.flightradar24.com/data/airports/her" xr:uid="{B86CD5D1-621A-BE43-891A-35694165C726}"/>
    <hyperlink ref="B120" r:id="rId123" tooltip="XR1783" display="https://www.flightradar24.com/data/flights/xr1783" xr:uid="{A19949AA-66AC-8A4D-8DFF-F1EF3A4ADB77}"/>
    <hyperlink ref="E59" r:id="rId124" tooltip="EC-LLM" display="https://www.flightradar24.com/data/aircraft/ec-llm" xr:uid="{279B927C-B0C3-D74E-9E80-7799B22C754E}"/>
    <hyperlink ref="D59" r:id="rId125" tooltip="Vueling" display="https://www.flightradar24.com/data/airlines/vy-vlg" xr:uid="{B7750864-EBAA-7643-BCFE-6ED4C9712349}"/>
    <hyperlink ref="C59" r:id="rId126" tooltip="Barcelona El Prat Airport, Spain" display="https://www.flightradar24.com/data/airports/bcn" xr:uid="{832ADFB2-2609-0644-9CF9-3C0490083F53}"/>
    <hyperlink ref="E131" r:id="rId127" tooltip="OO-TUV" display="https://www.flightradar24.com/data/aircraft/oo-tuv" xr:uid="{A0923451-8425-8F45-8A33-45946FD3205C}"/>
    <hyperlink ref="D131" r:id="rId128" tooltip="TUI" display="https://www.flightradar24.com/data/airlines/x3-tui" xr:uid="{B5D5C6D5-764D-8C46-A8E4-0E9AD5C5ABDF}"/>
    <hyperlink ref="C131" r:id="rId129" tooltip="Chania International Airport, Greece" display="https://www.flightradar24.com/data/airports/chq" xr:uid="{20D78B0E-B079-E045-8FD0-2724B75812A3}"/>
    <hyperlink ref="B131" r:id="rId130" tooltip="TB2182" display="https://www.flightradar24.com/data/flights/tb2182" xr:uid="{BB6BE3FA-D1D6-774C-9A5D-B06B5C2C80CC}"/>
    <hyperlink ref="E28" r:id="rId131" tooltip="OO-SSB" display="https://www.flightradar24.com/data/aircraft/oo-ssb" xr:uid="{E53813C5-43A5-824B-B8BB-D6F30D7144C6}"/>
    <hyperlink ref="D28" r:id="rId132" tooltip="Brussels Airlines" display="https://www.flightradar24.com/data/airlines/sn-bel" xr:uid="{5DE88EAB-AF6A-EF4B-B801-DEAF5861FEEE}"/>
    <hyperlink ref="C28" r:id="rId133" tooltip="Hamburg Airport, Germany" display="https://www.flightradar24.com/data/airports/ham" xr:uid="{A837749E-F180-5849-9884-48E4E6890A0D}"/>
    <hyperlink ref="B28" r:id="rId134" tooltip="SN2624" display="https://www.flightradar24.com/data/flights/sn2624" xr:uid="{43CF9067-5BEF-A146-8973-A755C87E3BE7}"/>
    <hyperlink ref="E155" r:id="rId135" tooltip="HB-JBF" display="https://www.flightradar24.com/data/aircraft/hb-jbf" xr:uid="{012FE4B2-E837-1243-A251-1E7A112751A8}"/>
    <hyperlink ref="D155" r:id="rId136" tooltip="Swiss" display="https://www.flightradar24.com/data/airlines/lx-swr" xr:uid="{DF2617CD-F5B3-BD4E-9011-DE59013FE8A0}"/>
    <hyperlink ref="C155" r:id="rId137" tooltip="Zurich Airport, Switzerland" display="https://www.flightradar24.com/data/airports/zrh" xr:uid="{50A0F7ED-C96F-134D-8452-234D7C5CBB3E}"/>
    <hyperlink ref="E37" r:id="rId138" tooltip="OO-SSO" display="https://www.flightradar24.com/data/aircraft/oo-sso" xr:uid="{ECC26CCE-D5BF-8147-9423-6A811414F08D}"/>
    <hyperlink ref="D37" r:id="rId139" tooltip="Brussels Airlines" display="https://www.flightradar24.com/data/airlines/sn-bel" xr:uid="{C07C0F47-CB46-0B4F-9C4B-D55CD7869071}"/>
    <hyperlink ref="C37" r:id="rId140" tooltip="Krakow John Paul II International Airport, Poland" display="https://www.flightradar24.com/data/airports/krk" xr:uid="{5D4B9EBE-7CC4-F448-BC18-6B46FEBBB6EE}"/>
    <hyperlink ref="B37" r:id="rId141" tooltip="SN2548" display="https://www.flightradar24.com/data/flights/sn2548" xr:uid="{FF8A8C0E-BF02-914D-9A4B-F65406F6C4BB}"/>
    <hyperlink ref="E76" r:id="rId142" tooltip="OO-SNB" display="https://www.flightradar24.com/data/aircraft/oo-snb" xr:uid="{DC2E24A1-4E26-4041-8A61-F537A23CBEAA}"/>
    <hyperlink ref="D76" r:id="rId143" tooltip="Brussels Airlines (Tintin comics Livery)" display="https://www.flightradar24.com/data/airlines/sn-bel" xr:uid="{1A62290B-7DE2-9044-B84C-399D26DE0372}"/>
    <hyperlink ref="C76" r:id="rId144" tooltip="Nice Cote d'Azur Airport, France" display="https://www.flightradar24.com/data/airports/nce" xr:uid="{71D297FB-5A57-B848-B221-58A96D1B8222}"/>
    <hyperlink ref="B76" r:id="rId145" tooltip="SN3618" display="https://www.flightradar24.com/data/flights/sn3618" xr:uid="{7D9220AE-18CD-794F-BE03-5A1BD2B78203}"/>
    <hyperlink ref="E73" r:id="rId146" tooltip="OE-LBX" display="https://www.flightradar24.com/data/aircraft/oe-lbx" xr:uid="{8EA2B826-140B-3A44-9405-451534C556AF}"/>
    <hyperlink ref="D73" r:id="rId147" tooltip="Austrian Airlines" display="https://www.flightradar24.com/data/airlines/os-aua" xr:uid="{BDFA9BCA-368F-BD4A-84C7-4E944214EFA2}"/>
    <hyperlink ref="C73" r:id="rId148" tooltip="Vienna International Airport, Austria" display="https://www.flightradar24.com/data/airports/vie" xr:uid="{7DE448F7-C31C-3248-BD7D-AA8FF79FF7EC}"/>
    <hyperlink ref="E80" r:id="rId149" tooltip="OO-SNH" display="https://www.flightradar24.com/data/aircraft/oo-snh" xr:uid="{FD118732-6B14-D947-BF64-78927FDFDB4D}"/>
    <hyperlink ref="D80" r:id="rId150" tooltip="Brussels Airlines" display="https://www.flightradar24.com/data/airlines/sn-bel" xr:uid="{D3B7E013-A6B4-184F-BBB7-D0A4A4FC6948}"/>
    <hyperlink ref="C80" r:id="rId151" tooltip="Heraklion International Airport, Greece" display="https://www.flightradar24.com/data/airports/her" xr:uid="{8B87B75D-0A92-744B-9B6A-DDDB2A609712}"/>
    <hyperlink ref="B80" r:id="rId152" tooltip="SN3256" display="https://www.flightradar24.com/data/flights/sn3256" xr:uid="{477F9512-2174-D548-9A4C-2502EE06509E}"/>
    <hyperlink ref="E23" r:id="rId153" tooltip="D-AILE" display="https://www.flightradar24.com/data/aircraft/d-aile" xr:uid="{89670F4E-ED18-4F49-912C-10DE44236F6F}"/>
    <hyperlink ref="D23" r:id="rId154" tooltip="Lufthansa" display="https://www.flightradar24.com/data/airlines/lh-dlh" xr:uid="{061B15EA-3016-6A43-ACA1-BB31639C2885}"/>
    <hyperlink ref="C23" r:id="rId155" tooltip="Frankfurt Airport, Germany" display="https://www.flightradar24.com/data/airports/fra" xr:uid="{8FCC2CF7-15D8-D04D-A731-6AB4B0817F09}"/>
    <hyperlink ref="E33" r:id="rId156" tooltip="OO-SSL" display="https://www.flightradar24.com/data/aircraft/oo-ssl" xr:uid="{373DCDEB-2985-A14B-B2E3-ADC9DF4E57A3}"/>
    <hyperlink ref="D33" r:id="rId157" tooltip="Brussels Airlines" display="https://www.flightradar24.com/data/airlines/sn-bel" xr:uid="{06E3789D-5A10-BC43-95A7-0CF9DE91DBA0}"/>
    <hyperlink ref="C33" r:id="rId158" tooltip="Toulouse Blagnac Airport, France" display="https://www.flightradar24.com/data/airports/tls" xr:uid="{A0E3887C-102D-F945-9FA8-8FB004F31CB4}"/>
    <hyperlink ref="B33" r:id="rId159" tooltip="SN3668" display="https://www.flightradar24.com/data/flights/sn3668" xr:uid="{3D8A78B8-5825-794E-8665-D9BC3F54BA9D}"/>
    <hyperlink ref="E119" r:id="rId160" tooltip="7T-VKP" display="https://www.flightradar24.com/data/aircraft/7t-vkp" xr:uid="{900E4EBF-2874-424B-BABB-02CBE7049185}"/>
    <hyperlink ref="D119" r:id="rId161" tooltip="Air Algerie" display="https://www.flightradar24.com/data/airlines/ah-dah" xr:uid="{824800E4-A5FA-BD48-A411-E62643B657DA}"/>
    <hyperlink ref="C119" r:id="rId162" tooltip="Algiers Houari Boumediene Airport, Algeria" display="https://www.flightradar24.com/data/airports/alg" xr:uid="{7F479F2F-6FF7-D943-B9E5-C4F356347115}"/>
    <hyperlink ref="B119" r:id="rId163" tooltip="AH2062" display="https://www.flightradar24.com/data/flights/ah2062" xr:uid="{C5D09DFC-5313-B74F-9AAC-51C1929D7E3E}"/>
    <hyperlink ref="E117" r:id="rId164" tooltip="OO-JAL" display="https://www.flightradar24.com/data/aircraft/oo-jal" xr:uid="{BDBDC3D3-6993-334D-8A12-B71209B3C908}"/>
    <hyperlink ref="D117" r:id="rId165" tooltip="TUI" display="https://www.flightradar24.com/data/airlines/x3-tui" xr:uid="{C0450C9B-8B98-A34B-A071-5B64EF721B59}"/>
    <hyperlink ref="C117" r:id="rId166" tooltip="Palermo Falcone-Borsellino Airport, Italy" display="https://www.flightradar24.com/data/airports/pmo" xr:uid="{0A7C282E-09DE-C04D-9BD2-A75CD98809CA}"/>
    <hyperlink ref="B117" r:id="rId167" tooltip="TB3581" display="https://www.flightradar24.com/data/flights/tb3581" xr:uid="{843D869B-EDEF-F74E-B1FD-F681729F7F58}"/>
    <hyperlink ref="E43" r:id="rId168" tooltip="OO-SSU" display="https://www.flightradar24.com/data/aircraft/oo-ssu" xr:uid="{63F07F3C-2F3E-DC4B-9BAA-09BB23FE724F}"/>
    <hyperlink ref="D43" r:id="rId169" tooltip="Brussels Airlines" display="https://www.flightradar24.com/data/airlines/sn-bel" xr:uid="{1A82989A-870F-DC45-B195-8B327EA367DD}"/>
    <hyperlink ref="C43" r:id="rId170" tooltip="Venice Marco Polo Airport, Italy" display="https://www.flightradar24.com/data/airports/vce" xr:uid="{FD1EAE33-CA47-7D4F-AF17-C0F109C31F64}"/>
    <hyperlink ref="B43" r:id="rId171" tooltip="SN3202" display="https://www.flightradar24.com/data/flights/sn3202" xr:uid="{3DF3F945-33A6-FE4A-AAC9-8A45FDDD4C77}"/>
    <hyperlink ref="E4" r:id="rId172" tooltip="EI-SIL" display="https://www.flightradar24.com/data/aircraft/ei-sil" xr:uid="{E1C6C004-0781-4743-969A-7A5FCA28D11E}"/>
    <hyperlink ref="D4" r:id="rId173" tooltip="SAS" display="https://www.flightradar24.com/data/airlines/sk-sas" xr:uid="{03783784-08E5-D445-9372-88C20908E465}"/>
    <hyperlink ref="C4" r:id="rId174" tooltip="Stockholm Arlanda Airport, Sweden" display="https://www.flightradar24.com/data/airports/arn" xr:uid="{B760DAA2-6002-BC4E-98BB-72E9983DA456}"/>
    <hyperlink ref="B4" r:id="rId175" tooltip="SK589" display="https://www.flightradar24.com/data/flights/sk589" xr:uid="{619A6CB1-2182-3F49-B3C3-EF3E8A59126E}"/>
    <hyperlink ref="E133" r:id="rId176" tooltip="PH-HXM" display="https://www.flightradar24.com/data/aircraft/ph-hxm" xr:uid="{0E3343D1-C0CB-8E42-BEA6-BE8ED624D360}"/>
    <hyperlink ref="D133" r:id="rId177" tooltip="Transavia" display="https://www.flightradar24.com/data/airlines/hv-tra" xr:uid="{403515A8-AD1D-C34E-AF14-6B50BED74708}"/>
    <hyperlink ref="C133" r:id="rId178" tooltip="Faro Airport, Portugal" display="https://www.flightradar24.com/data/airports/fao" xr:uid="{D1BA15CD-358A-0943-80A9-0D0BC9239236}"/>
    <hyperlink ref="B133" r:id="rId179" tooltip="HV9008" display="https://www.flightradar24.com/data/flights/hv9008" xr:uid="{D230925D-F1B4-E54B-9EDA-D8665D301B3C}"/>
    <hyperlink ref="E49" r:id="rId180" tooltip="OO-SSX" display="https://www.flightradar24.com/data/aircraft/oo-ssx" xr:uid="{C2A59F87-6506-1146-B5F7-E79EC754D04C}"/>
    <hyperlink ref="D49" r:id="rId181" tooltip="Brussels Airlines" display="https://www.flightradar24.com/data/airlines/sn-bel" xr:uid="{5995FDD4-D1F6-CB43-821D-FD63D08EC761}"/>
    <hyperlink ref="C49" r:id="rId182" tooltip="Milan Linate Airport, Italy" display="https://www.flightradar24.com/data/airports/lin" xr:uid="{8E00F358-80F7-4A46-B00B-319DCFCC8BE2}"/>
    <hyperlink ref="B49" r:id="rId183" tooltip="SN3148" display="https://www.flightradar24.com/data/flights/sn3148" xr:uid="{AD1BE762-B7DE-224F-8FF4-F3277F837FB8}"/>
    <hyperlink ref="E103" r:id="rId184" tooltip="TC-JTK" display="https://www.flightradar24.com/data/aircraft/tc-jtk" xr:uid="{9A50E8FE-8929-1249-B2EB-0A0AA7866C0C}"/>
    <hyperlink ref="D103" r:id="rId185" tooltip="Turkish Airlines" display="https://www.flightradar24.com/data/airlines/tk-thy" xr:uid="{6CC5274E-F80F-FD4C-A523-055E420C8D09}"/>
    <hyperlink ref="C103" r:id="rId186" tooltip="Istanbul Airport, Turkey" display="https://www.flightradar24.com/data/airports/ist" xr:uid="{6C34C407-5425-E449-9E4D-4342F2BCF879}"/>
    <hyperlink ref="E26" r:id="rId187" tooltip="OO-SSA" display="https://www.flightradar24.com/data/aircraft/oo-ssa" xr:uid="{03CCD172-A2B9-FB4D-B8F9-031A7C70B965}"/>
    <hyperlink ref="D26" r:id="rId188" tooltip="Brussels Airlines" display="https://www.flightradar24.com/data/airlines/sn-bel" xr:uid="{927FB051-6AAB-E64F-A9C2-8BC63AC94297}"/>
    <hyperlink ref="C26" r:id="rId189" tooltip="Copenhagen Airport, Denmark" display="https://www.flightradar24.com/data/airports/cph" xr:uid="{AE612688-9487-1241-8BD7-9D0C0D9432FD}"/>
    <hyperlink ref="E31" r:id="rId190" tooltip="OO-SSJ" display="https://www.flightradar24.com/data/aircraft/oo-ssj" xr:uid="{6125279C-8CD7-F843-B8C8-950E3A06F872}"/>
    <hyperlink ref="D31" r:id="rId191" tooltip="Brussels Airlines" display="https://www.flightradar24.com/data/airlines/sn-bel" xr:uid="{468EE002-C5B7-DE4B-BE3C-21AF61EC0298}"/>
    <hyperlink ref="C31" r:id="rId192" tooltip="Manchester Airport, United Kingdom" display="https://www.flightradar24.com/data/airports/man" xr:uid="{15F3F47A-BD44-A54C-A550-63FCFC5FC627}"/>
    <hyperlink ref="B31" r:id="rId193" tooltip="SN2174" display="https://www.flightradar24.com/data/flights/sn2174" xr:uid="{6BFD3D03-A704-3C4D-8671-FA760DD25301}"/>
    <hyperlink ref="E170" r:id="rId194" tooltip="D-AIRZ" display="https://www.flightradar24.com/data/aircraft/d-airz" xr:uid="{AED3BFFD-09DB-BF40-80AE-0149D648DA1F}"/>
    <hyperlink ref="D170" r:id="rId195" tooltip="VistaJet" display="https://www.flightradar24.com/data/airlines/-vjt" xr:uid="{8A62D4EC-AB05-A748-8AA1-1EFD81E8501E}"/>
    <hyperlink ref="C170" r:id="rId196" tooltip="Murcia Corvera International Airport, Spain" display="https://www.flightradar24.com/data/airports/rmu" xr:uid="{516D7BFF-655C-5D43-9BB8-7CDB5E7A2886}"/>
    <hyperlink ref="B170" r:id="rId197" tooltip="H5721" display="https://www.flightradar24.com/data/flights/h5721" xr:uid="{012FD787-2596-8344-8E9A-DF553A7A9E4B}"/>
    <hyperlink ref="E169" r:id="rId198" tooltip="LN-WEC" display="https://www.flightradar24.com/data/aircraft/ln-wec" xr:uid="{44B8B256-0C52-ED44-A618-A7C854E76056}"/>
    <hyperlink ref="D169" r:id="rId199" tooltip="Wideroe" display="https://www.flightradar24.com/data/airlines/wf-wif" xr:uid="{447CA3C3-2AEC-854E-8B26-EDD900C6F93C}"/>
    <hyperlink ref="C169" r:id="rId200" tooltip="Bergen Flesland Airport, Norway" display="https://www.flightradar24.com/data/airports/bgo" xr:uid="{57DC8BBD-A4C9-164F-9FC0-49B585B02B58}"/>
    <hyperlink ref="B169" r:id="rId201" tooltip="WF1890" display="https://www.flightradar24.com/data/flights/wf1890" xr:uid="{F7D5142B-D481-D94E-8F20-AD338F4B6954}"/>
    <hyperlink ref="E30" r:id="rId202" tooltip="OO-SSF" display="https://www.flightradar24.com/data/aircraft/oo-ssf" xr:uid="{F527FD5E-8853-EE41-B017-4D690AFB2DE9}"/>
    <hyperlink ref="D30" r:id="rId203" tooltip="Brussels Airlines" display="https://www.flightradar24.com/data/airlines/sn-bel" xr:uid="{AF7C29F9-2C6C-414C-B143-40AAEBB6B7CF}"/>
    <hyperlink ref="C30" r:id="rId204" tooltip="Florence Peretola Airport, Italy" display="https://www.flightradar24.com/data/airports/flr" xr:uid="{1A15A146-C485-3541-AD7F-521C70592D2D}"/>
    <hyperlink ref="B30" r:id="rId205" tooltip="SN3140" display="https://www.flightradar24.com/data/flights/sn3140" xr:uid="{9A5473FF-2860-E044-A6E2-8A9FB94A7743}"/>
    <hyperlink ref="E45" r:id="rId206" tooltip="OO-SSV" display="https://www.flightradar24.com/data/aircraft/oo-ssv" xr:uid="{7FDC80F9-FD19-C348-9E4D-F7C068ED24EE}"/>
    <hyperlink ref="D45" r:id="rId207" tooltip="Brussels Airlines" display="https://www.flightradar24.com/data/airlines/sn-bel" xr:uid="{39E5773B-6258-C04E-A1F5-F9533057A55B}"/>
    <hyperlink ref="C45" r:id="rId208" tooltip="Prague Vaclav Havel Airport, Czechia" display="https://www.flightradar24.com/data/airports/prg" xr:uid="{AC270729-6FA8-F94A-872C-FBF5E7536AAA}"/>
    <hyperlink ref="B45" r:id="rId209" tooltip="SN2810" display="https://www.flightradar24.com/data/flights/sn2810" xr:uid="{9F8701F8-E719-384C-9D23-85E9FDD03FAD}"/>
    <hyperlink ref="E144" r:id="rId210" tooltip="A6-EQJ" display="https://www.flightradar24.com/data/aircraft/a6-eqj" xr:uid="{94B1964F-9065-D046-BD39-6A948594B603}"/>
    <hyperlink ref="D144" r:id="rId211" tooltip="Emirates" display="https://www.flightradar24.com/data/airlines/ek-uae" xr:uid="{0873BD1C-0BDC-E040-985F-22806C2DE0DB}"/>
    <hyperlink ref="C144" r:id="rId212" tooltip="Dubai International Airport, United Arab Emirates" display="https://www.flightradar24.com/data/airports/dxb" xr:uid="{CD5A8928-E279-C240-BDEF-F8BF9F6313DF}"/>
    <hyperlink ref="E9" r:id="rId213" tooltip="OO-SBC" display="https://www.flightradar24.com/data/aircraft/oo-sbc" xr:uid="{C5E9D1CA-3A0D-044D-B1B1-BD587B1D8B8D}"/>
    <hyperlink ref="D9" r:id="rId214" tooltip="Brussels Airlines" display="https://www.flightradar24.com/data/airlines/sn-bel" xr:uid="{E6EDB092-DBB9-5B40-B3BB-7E03A4862CEA}"/>
    <hyperlink ref="C9" r:id="rId215" tooltip="London Heathrow Airport, United Kingdom" display="https://www.flightradar24.com/data/airports/lhr" xr:uid="{611817AE-218F-BB46-AEE2-AB1A1E70105F}"/>
    <hyperlink ref="E41" r:id="rId216" tooltip="OO-SSS" display="https://www.flightradar24.com/data/aircraft/oo-sss" xr:uid="{9F1C2AB6-4089-5248-9884-A9AEEC3923E6}"/>
    <hyperlink ref="D41" r:id="rId217" tooltip="Brussels Airlines" display="https://www.flightradar24.com/data/airlines/sn-bel" xr:uid="{28E414EC-B970-BA4F-972E-E69AE25E03D3}"/>
    <hyperlink ref="C41" r:id="rId218" tooltip="Lyon Saint Exupery Airport, France" display="https://www.flightradar24.com/data/airports/lys" xr:uid="{216EFA23-6BDD-B74A-B299-DE77D0EF7F4E}"/>
    <hyperlink ref="B41" r:id="rId219" tooltip="SN3588" display="https://www.flightradar24.com/data/flights/sn3588" xr:uid="{273FA818-2490-6946-80C8-F55AA023DB63}"/>
    <hyperlink ref="E92" r:id="rId220" tooltip="OO-TCH" display="https://www.flightradar24.com/data/aircraft/oo-tch" xr:uid="{1AB370CF-2537-1E43-81B6-A376DB1DFF21}"/>
    <hyperlink ref="D92" r:id="rId221" tooltip="Brussels Airlines" display="https://www.flightradar24.com/data/airlines/sn-bel" xr:uid="{5F926BD2-45DA-FB41-AE85-3A3B3E408538}"/>
    <hyperlink ref="C92" r:id="rId222" tooltip="Berlin Brandenburg Airport, Germany" display="https://www.flightradar24.com/data/airports/ber" xr:uid="{C56191E6-FA52-BF41-BAD5-D608D085DEB1}"/>
    <hyperlink ref="E132" r:id="rId223" tooltip="PH-HSB" display="https://www.flightradar24.com/data/aircraft/ph-hsb" xr:uid="{F8B90EE3-F74D-9946-802A-D474C080E61A}"/>
    <hyperlink ref="D132" r:id="rId224" tooltip="Transavia" display="https://www.flightradar24.com/data/airlines/hv-tra" xr:uid="{D6809148-5153-6749-97D4-B2DC2F8A6A8F}"/>
    <hyperlink ref="C132" r:id="rId225" tooltip="Seville San Pablo Airport, Spain" display="https://www.flightradar24.com/data/airports/svq" xr:uid="{4C3A57CC-99E3-E74A-AD7D-884D2658454A}"/>
    <hyperlink ref="B132" r:id="rId226" tooltip="HV9078" display="https://www.flightradar24.com/data/flights/hv9078" xr:uid="{AC605EEF-3692-8547-A2D4-84EA491EC899}"/>
    <hyperlink ref="E11" r:id="rId227" tooltip="SX-CHG" display="https://www.flightradar24.com/data/aircraft/sx-chg" xr:uid="{3D898C37-44E9-B84A-A348-CCA4910412DE}"/>
    <hyperlink ref="D11" r:id="rId228" tooltip="SKY express" display="https://www.flightradar24.com/data/airlines/gq-seh" xr:uid="{F857DC95-A3E5-264D-9604-9B8CE7D190E7}"/>
    <hyperlink ref="C11" r:id="rId229" tooltip="Athens Eleftherios Venizelos, Greece" display="https://www.flightradar24.com/data/airports/ath" xr:uid="{0CE42157-AD21-744C-B346-DACCC50DF9D5}"/>
    <hyperlink ref="B11" r:id="rId230" tooltip="GQ800" display="https://www.flightradar24.com/data/flights/gq800" xr:uid="{B1DCC5FF-D94E-5F4C-BBA3-682CBBC222FF}"/>
    <hyperlink ref="E67" r:id="rId231" tooltip="ES-SAB" display="https://www.flightradar24.com/data/aircraft/es-sab" xr:uid="{A5210A76-39B7-224C-8BB1-15614700B819}"/>
    <hyperlink ref="D67" r:id="rId232" tooltip="SmartLynx" display="https://www.flightradar24.com/data/airlines/6y-art" xr:uid="{39E9D146-A4D0-9946-B5FA-C6C5A80EA17D}"/>
    <hyperlink ref="C67" r:id="rId233" tooltip="Malaga Costa Del Sol Airport, Spain" display="https://www.flightradar24.com/data/airports/agp" xr:uid="{AE894E65-56A2-CE46-8274-088B49C33A94}"/>
    <hyperlink ref="B67" r:id="rId234" tooltip="TB1012" display="https://www.flightradar24.com/data/flights/tb1012" xr:uid="{7C2DCC8E-8643-7E41-ACFD-E79ABE88ECD9}"/>
    <hyperlink ref="E83" r:id="rId235" tooltip="OO-SNK" display="https://www.flightradar24.com/data/aircraft/oo-snk" xr:uid="{9F2FDF4F-7A9C-5B4A-8310-CB0CE5CDF8F4}"/>
    <hyperlink ref="D83" r:id="rId236" tooltip="Brussels Airlines" display="https://www.flightradar24.com/data/airlines/sn-bel" xr:uid="{1F765CEC-B08D-EB4C-9B01-7CA77C55CD8E}"/>
    <hyperlink ref="C83" r:id="rId237" tooltip="Malaga Costa Del Sol Airport, Spain" display="https://www.flightradar24.com/data/airports/agp" xr:uid="{F38755A6-CA35-4542-B4DE-9F8C95CD71BB}"/>
    <hyperlink ref="B83" r:id="rId238" tooltip="SN3734" display="https://www.flightradar24.com/data/flights/sn3734" xr:uid="{BC8F4D7C-13DB-A34F-ACC8-BC775909E410}"/>
    <hyperlink ref="E116" r:id="rId239" tooltip="TF-ICM" display="https://www.flightradar24.com/data/aircraft/tf-icm" xr:uid="{7D053576-7DBE-BA47-871A-8B70F838D8A7}"/>
    <hyperlink ref="D116" r:id="rId240" tooltip="Icelandair" display="https://www.flightradar24.com/data/airlines/fi-ice" xr:uid="{0E82A6ED-7F41-4D44-8E35-CD7831B8063A}"/>
    <hyperlink ref="C116" r:id="rId241" tooltip="Keflavik International Airport, Iceland" display="https://www.flightradar24.com/data/airports/kef" xr:uid="{EA520B90-F468-2641-AD5D-3EFC2EAA77CA}"/>
    <hyperlink ref="E112" r:id="rId242" tooltip="9H-VVL" display="https://www.flightradar24.com/data/aircraft/9h-vvl" xr:uid="{C72F2D93-E333-3B49-8838-7A1E77E5030B}"/>
    <hyperlink ref="D112" r:id="rId243" tooltip="Ryanair" display="https://www.flightradar24.com/data/airlines/fr-ryr" xr:uid="{FE9EEDF2-1C56-3242-9611-ADE687790529}"/>
    <hyperlink ref="C112" r:id="rId244" tooltip="Pisa Galileo Galilei Airport, Italy" display="https://www.flightradar24.com/data/airports/psa" xr:uid="{8FB13595-D6ED-914F-A989-CF4E70CE903B}"/>
    <hyperlink ref="B112" r:id="rId245" tooltip="FR5236" display="https://www.flightradar24.com/data/flights/fr5236" xr:uid="{6CE83422-A2AA-8643-B718-CC256A461D8E}"/>
    <hyperlink ref="E84" r:id="rId246" tooltip="OO-SNL" display="https://www.flightradar24.com/data/aircraft/oo-snl" xr:uid="{1EC289C1-E321-0D42-94CD-CED5068B3C2D}"/>
    <hyperlink ref="D84" r:id="rId247" tooltip="Brussels Airlines" display="https://www.flightradar24.com/data/airlines/sn-bel" xr:uid="{F344DC3F-98AF-BC47-AF54-2945032852ED}"/>
    <hyperlink ref="C84" r:id="rId248" tooltip="Rome Leonardo da Vinci Fiumicino Airport, Italy" display="https://www.flightradar24.com/data/airports/fco" xr:uid="{BC307786-B076-DC4C-AE0C-FB89254092D7}"/>
    <hyperlink ref="B84" r:id="rId249" tooltip="SN3176" display="https://www.flightradar24.com/data/flights/sn3176" xr:uid="{F4B2DE0F-51C1-DF4C-AD46-85288ECD132E}"/>
    <hyperlink ref="E165" r:id="rId250" tooltip="D-AECH" display="https://www.flightradar24.com/data/aircraft/d-aech" xr:uid="{3C95E2DC-3A01-CB4E-AD5D-BCA0B0B69D8C}"/>
    <hyperlink ref="D165" r:id="rId251" tooltip="Lufthansa" display="https://www.flightradar24.com/data/airlines/lh-dlh" xr:uid="{D7FABC59-F811-1A46-BCEF-6C2ECEBAF849}"/>
    <hyperlink ref="C165" r:id="rId252" tooltip="Frankfurt Airport, Germany" display="https://www.flightradar24.com/data/airports/fra" xr:uid="{B912CEFD-2D35-8645-A91C-3C78E9B7DFB7}"/>
    <hyperlink ref="E114" r:id="rId253" tooltip="EI-IGW" display="https://www.flightradar24.com/data/aircraft/ei-igw" xr:uid="{2409BCC9-68AC-524C-8C79-1DED4295DB7B}"/>
    <hyperlink ref="D114" r:id="rId254" tooltip="Ryanair" display="https://www.flightradar24.com/data/airlines/fr-ryr" xr:uid="{66371833-180A-1448-BFC8-023809185496}"/>
    <hyperlink ref="C114" r:id="rId255" tooltip="Barcelona El Prat Airport, Spain" display="https://www.flightradar24.com/data/airports/bcn" xr:uid="{DB2EB417-C5D9-1046-B950-96A4CC8532A2}"/>
    <hyperlink ref="B114" r:id="rId256" tooltip="FR2918" display="https://www.flightradar24.com/data/flights/fr2918" xr:uid="{AB08EACD-76CC-3D4A-871F-C863A82A46A0}"/>
    <hyperlink ref="E128" r:id="rId257" tooltip="OO-JAF" display="https://www.flightradar24.com/data/aircraft/oo-jaf" xr:uid="{A8CCF1A6-CB69-E246-BB36-408F6D96C5CD}"/>
    <hyperlink ref="D128" r:id="rId258" tooltip="TUI (Family Life Hotels Livery)" display="https://www.flightradar24.com/data/airlines/x3-tui" xr:uid="{0A749F51-E2BA-7F49-90A2-5B5D1135BF6B}"/>
    <hyperlink ref="C128" r:id="rId259" tooltip="Tunis Carthage International Airport, Tunisia" display="https://www.flightradar24.com/data/airports/tun" xr:uid="{8526BB4F-F7D4-6C48-BD26-F1E565A160B5}"/>
    <hyperlink ref="B128" r:id="rId260" tooltip="TB746" display="https://www.flightradar24.com/data/flights/tb746" xr:uid="{EB96A04D-A847-4A4A-8B09-E072EC96F34B}"/>
    <hyperlink ref="E102" r:id="rId261" tooltip="YR-SUN" display="https://www.flightradar24.com/data/aircraft/yr-sun" xr:uid="{9768BAC8-74C5-FB43-8877-5D9AC05819C3}"/>
    <hyperlink ref="D102" r:id="rId262" tooltip="HiSky" display="https://www.flightradar24.com/data/airlines/h7-hym" xr:uid="{B82D9AC8-C096-E04E-A59C-28F26D1E00DF}"/>
    <hyperlink ref="C102" r:id="rId263" tooltip="Bucharest Henri Coanda International Airport, Romania" display="https://www.flightradar24.com/data/airports/otp" xr:uid="{27776E48-B491-3D49-AD4E-42135093A867}"/>
    <hyperlink ref="E115" r:id="rId264" tooltip="OO-TMS" display="https://www.flightradar24.com/data/aircraft/oo-tms" xr:uid="{07674FF1-120D-4A46-939D-F684298D5BF0}"/>
    <hyperlink ref="D115" r:id="rId265" tooltip="TUI" display="https://www.flightradar24.com/data/airlines/x3-tui" xr:uid="{E15D6B46-6EB2-7D4C-BE2D-C0FA6DDD49E1}"/>
    <hyperlink ref="C115" r:id="rId266" tooltip="Alicante Airport, Spain" display="https://www.flightradar24.com/data/airports/alc" xr:uid="{ED0D6F2A-7502-764C-BCE7-FA82ECA48E74}"/>
    <hyperlink ref="B115" r:id="rId267" tooltip="TB1112" display="https://www.flightradar24.com/data/flights/tb1112" xr:uid="{928504D7-04BF-1848-8C25-1028B7772272}"/>
    <hyperlink ref="E163" r:id="rId268" tooltip="D-ACNH" display="https://www.flightradar24.com/data/aircraft/d-acnh" xr:uid="{1805F74D-5998-CE48-92EC-6F9D9D90E66C}"/>
    <hyperlink ref="D163" r:id="rId269" tooltip="Lufthansa" display="https://www.flightradar24.com/data/airlines/lh-dlh" xr:uid="{1967B74B-C564-F648-ABD7-FD60C8BB2896}"/>
    <hyperlink ref="C163" r:id="rId270" tooltip="Munich Airport, Germany" display="https://www.flightradar24.com/data/airports/muc" xr:uid="{B24BA780-D397-3F4F-AF52-E320CD5DAAF3}"/>
    <hyperlink ref="E118" r:id="rId271" tooltip="OO-JAR" display="https://www.flightradar24.com/data/aircraft/oo-jar" xr:uid="{4B2B5861-FC1A-4C47-B9CD-A0671CC39BE1}"/>
    <hyperlink ref="D118" r:id="rId272" tooltip="TUI" display="https://www.flightradar24.com/data/airlines/x3-tui" xr:uid="{3589944A-2431-1E4D-903D-DF06A332ECFC}"/>
    <hyperlink ref="C118" r:id="rId273" tooltip="Tivat Airport, Montenegro" display="https://www.flightradar24.com/data/airports/tiv" xr:uid="{93377A6D-7DA5-A646-937A-CC83C1550B88}"/>
    <hyperlink ref="B118" r:id="rId274" tooltip="TB2932" display="https://www.flightradar24.com/data/flights/tb2932" xr:uid="{C5AE41B2-BB6A-0D43-8043-B8AC59578E46}"/>
    <hyperlink ref="E53" r:id="rId275" tooltip="CN-NMI" display="https://www.flightradar24.com/data/aircraft/cn-nmi" xr:uid="{032721F5-D7B1-4047-A258-E8458BE3E76A}"/>
    <hyperlink ref="D53" r:id="rId276" tooltip="Air Arabia" display="https://www.flightradar24.com/data/airlines/g9-aby" xr:uid="{3C3950E1-B031-A64F-A27D-EB78BB254340}"/>
    <hyperlink ref="C53" r:id="rId277" tooltip="Fes Saiss Airport, Morocco" display="https://www.flightradar24.com/data/airports/fez" xr:uid="{19DD774D-42F0-2241-8211-D4A4DF3BD9F3}"/>
    <hyperlink ref="B53" r:id="rId278" tooltip="3O117" display="https://www.flightradar24.com/data/flights/3o117" xr:uid="{5BE5A29E-478F-A04C-B81F-46B955FBB9BB}"/>
    <hyperlink ref="E130" r:id="rId279" tooltip="OO-JAX" display="https://www.flightradar24.com/data/aircraft/oo-jax" xr:uid="{EA281791-71B9-5548-93CA-9BCE7CC94390}"/>
    <hyperlink ref="D130" r:id="rId280" tooltip="TUI" display="https://www.flightradar24.com/data/airlines/x3-tui" xr:uid="{9B9A9727-B047-ED41-8C26-0A5333A18957}"/>
    <hyperlink ref="C130" r:id="rId281" tooltip="Palma de Mallorca Airport, Spain" display="https://www.flightradar24.com/data/airports/pmi" xr:uid="{D97539F2-33B1-9C40-AC96-EAEC6C89655C}"/>
    <hyperlink ref="B130" r:id="rId282" tooltip="TB1412" display="https://www.flightradar24.com/data/flights/tb1412" xr:uid="{9D7F7C9F-0BC2-E447-9827-90AC7D8627AE}"/>
    <hyperlink ref="E100" r:id="rId283" tooltip="YL-LDJ" display="https://www.flightradar24.com/data/aircraft/yl-ldj" xr:uid="{388A610B-4017-F24C-B85A-95D090F98542}"/>
    <hyperlink ref="D100" r:id="rId284" tooltip="AJet" display="https://www.flightradar24.com/data/airlines/vf-tkj" xr:uid="{F4E96E68-DAE6-3B4A-AD5C-C88E890C2BB3}"/>
    <hyperlink ref="C100" r:id="rId285" tooltip="Istanbul Sabiha Gokcen International Airport, Turkey" display="https://www.flightradar24.com/data/airports/saw" xr:uid="{6723119C-D226-D54C-BAAA-56174D63A0CD}"/>
    <hyperlink ref="B100" r:id="rId286" tooltip="VF65" display="https://www.flightradar24.com/data/flights/vf65" xr:uid="{424EBCA0-ADA8-704B-9E19-3884D55024D5}"/>
    <hyperlink ref="E54" r:id="rId287" tooltip="CN-NML" display="https://www.flightradar24.com/data/aircraft/cn-nml" xr:uid="{C454456B-44CC-EA4F-A7CA-BBCCB361F58F}"/>
    <hyperlink ref="D54" r:id="rId288" tooltip="Air Arabia" display="https://www.flightradar24.com/data/airlines/g9-aby" xr:uid="{E3B3E11F-7C12-3A42-8A86-0D5AA182F4DF}"/>
    <hyperlink ref="C54" r:id="rId289" tooltip="Tetuan Sania Ramel Airport, Morocco" display="https://www.flightradar24.com/data/airports/ttu" xr:uid="{4F751934-467E-0A4D-99D2-CE841FB74A10}"/>
    <hyperlink ref="B54" r:id="rId290" tooltip="3O137" display="https://www.flightradar24.com/data/flights/3o137" xr:uid="{71CE6CCF-89C4-9244-A66A-D268AD38BE47}"/>
    <hyperlink ref="E82" r:id="rId291" tooltip="OO-SNJ" display="https://www.flightradar24.com/data/aircraft/oo-snj" xr:uid="{DAB39816-0242-3E42-9B80-35DE89263243}"/>
    <hyperlink ref="D82" r:id="rId292" tooltip="Brussels Airlines" display="https://www.flightradar24.com/data/airlines/sn-bel" xr:uid="{6107E844-1D20-0F44-9B43-157EAD90D28F}"/>
    <hyperlink ref="C82" r:id="rId293" tooltip="Alicante Airport, Spain" display="https://www.flightradar24.com/data/airports/alc" xr:uid="{DB85BB56-5A54-0241-9C94-4000B641C8D8}"/>
    <hyperlink ref="B82" r:id="rId294" tooltip="SN3772" display="https://www.flightradar24.com/data/flights/sn3772" xr:uid="{1937D7B4-292E-534A-AF35-62A16D1F4AE3}"/>
    <hyperlink ref="E55" r:id="rId295" tooltip="CN-NMP" display="https://www.flightradar24.com/data/aircraft/cn-nmp" xr:uid="{CC9D47E1-2878-9A45-B68A-E162A8BC6C20}"/>
    <hyperlink ref="D55" r:id="rId296" tooltip="Air Arabia" display="https://www.flightradar24.com/data/airlines/g9-aby" xr:uid="{4B696CCC-C132-3740-815A-31A3E8B3D321}"/>
    <hyperlink ref="C55" r:id="rId297" tooltip="Tangier Ibn Battouta Airport, Morocco" display="https://www.flightradar24.com/data/airports/tng" xr:uid="{F1A2D9CF-F786-E842-9194-5A1CD3EBC44F}"/>
    <hyperlink ref="B55" r:id="rId298" tooltip="3O113" display="https://www.flightradar24.com/data/flights/3o113" xr:uid="{2841AAC9-E852-6D4E-B493-180944D70865}"/>
    <hyperlink ref="E98" r:id="rId299" tooltip="TS-IMT" display="https://www.flightradar24.com/data/aircraft/ts-imt" xr:uid="{21130A81-EF91-734B-A73E-F120D451C9BE}"/>
    <hyperlink ref="D98" r:id="rId300" tooltip="Tunisair" display="https://www.flightradar24.com/data/airlines/tu-tar" xr:uid="{6787F4BA-6971-6346-8B19-C64CBE270106}"/>
    <hyperlink ref="C98" r:id="rId301" tooltip="Tunis Carthage International Airport, Tunisia" display="https://www.flightradar24.com/data/airports/tun" xr:uid="{80F06179-BFFE-DA49-B285-E0D7B209D43B}"/>
    <hyperlink ref="B98" r:id="rId302" tooltip="TU954" display="https://www.flightradar24.com/data/flights/tu954" xr:uid="{6BA53EF2-9CC8-6D44-BC12-E5AA8436C284}"/>
    <hyperlink ref="E3" r:id="rId303" tooltip="EC-NCM" display="https://www.flightradar24.com/data/aircraft/ec-ncm" xr:uid="{670EC8E1-20CF-D347-A769-1EAF527CE3E4}"/>
    <hyperlink ref="D3" r:id="rId304" tooltip="Iberia" display="https://www.flightradar24.com/data/airlines/ib-ibe" xr:uid="{F62353AC-3A83-1542-AF77-4C97D2D79CCC}"/>
    <hyperlink ref="C3" r:id="rId305" tooltip="Madrid Barajas Airport, Spain" display="https://www.flightradar24.com/data/airports/mad" xr:uid="{D1472DAE-59B8-6949-AF8A-5F5B4CA24A51}"/>
    <hyperlink ref="E56" r:id="rId306" tooltip="CN-NMT" display="https://www.flightradar24.com/data/aircraft/cn-nmt" xr:uid="{9698FB0B-FC66-5144-8EE0-31B3BA7F3021}"/>
    <hyperlink ref="D56" r:id="rId307" tooltip="Air Arabia" display="https://www.flightradar24.com/data/airlines/g9-aby" xr:uid="{EE098B96-96B1-8640-B0D3-935CA3A5F1E4}"/>
    <hyperlink ref="C56" r:id="rId308" tooltip="Rabat-Sale Airport, Morocco" display="https://www.flightradar24.com/data/airports/rba" xr:uid="{D320AEE7-193B-3D4F-8FA3-0AC6851BF1EE}"/>
    <hyperlink ref="B56" r:id="rId309" tooltip="3O135" display="https://www.flightradar24.com/data/flights/3o135" xr:uid="{5D760BFD-132B-5B43-862F-D25544FC2653}"/>
    <hyperlink ref="E6" r:id="rId310" tooltip="OO-SBA" display="https://www.flightradar24.com/data/aircraft/oo-sba" xr:uid="{D5A8AFB4-FB53-4C41-99A1-02B52D000681}"/>
    <hyperlink ref="D6" r:id="rId311" tooltip="Brussels Airlines" display="https://www.flightradar24.com/data/airlines/sn-bel" xr:uid="{664DC692-5857-DD46-BDD7-9F5D34EA284D}"/>
    <hyperlink ref="C6" r:id="rId312" tooltip="Vienna International Airport, Austria" display="https://www.flightradar24.com/data/airports/vie" xr:uid="{52461F90-8711-F043-82BA-E6A42A66F45A}"/>
    <hyperlink ref="E18" r:id="rId313" tooltip="CS-TTO" display="https://www.flightradar24.com/data/aircraft/cs-tto" xr:uid="{8E14CBC0-033C-7A4B-9D67-2C7011EF5E1E}"/>
    <hyperlink ref="D18" r:id="rId314" tooltip="TAP Air Portugal" display="https://www.flightradar24.com/data/airlines/tp-tap" xr:uid="{E881FAE3-8A00-7749-B795-9E608516700C}"/>
    <hyperlink ref="C18" r:id="rId315" tooltip="Lisbon Humberto Delgado Airport, Portugal" display="https://www.flightradar24.com/data/airports/lis" xr:uid="{BD1C2BF5-60FD-0F4E-9B86-4B6D5995C9E2}"/>
    <hyperlink ref="E81" r:id="rId316" tooltip="OO-SNI" display="https://www.flightradar24.com/data/aircraft/oo-sni" xr:uid="{F9822068-DA75-E342-B7EE-62E1059C36C3}"/>
    <hyperlink ref="D81" r:id="rId317" tooltip="Brussels Airlines" display="https://www.flightradar24.com/data/airlines/sn-bel" xr:uid="{A2584120-83DB-404D-BC1C-8E0ADE739754}"/>
    <hyperlink ref="C81" r:id="rId318" tooltip="Paris Charles de Gaulle Airport, France" display="https://www.flightradar24.com/data/airports/cdg" xr:uid="{839CF103-7424-F246-B328-62F8C6369B7B}"/>
    <hyperlink ref="E124" r:id="rId319" tooltip="EI-DHZ" display="https://www.flightradar24.com/data/aircraft/ei-dhz" xr:uid="{BDA4E2F3-566C-F142-810C-5B850F0CE337}"/>
    <hyperlink ref="D124" r:id="rId320" tooltip="Ryanair" display="https://www.flightradar24.com/data/airlines/fr-ryr" xr:uid="{93627D84-C4BF-8F42-9DD4-F91C7E7A90C8}"/>
    <hyperlink ref="C124" r:id="rId321" tooltip="Malaga Costa Del Sol Airport, Spain" display="https://www.flightradar24.com/data/airports/agp" xr:uid="{B4E60266-DBAA-FB4A-BB1F-3294437AE045}"/>
    <hyperlink ref="B124" r:id="rId322" tooltip="FR2924" display="https://www.flightradar24.com/data/flights/fr2924" xr:uid="{7FA04BC8-BDB1-2A40-94CB-3DB24EC7E774}"/>
    <hyperlink ref="E148" r:id="rId323" tooltip="PH-TFL" display="https://www.flightradar24.com/data/aircraft/ph-tfl" xr:uid="{6554FA3F-D212-324F-8675-37869EC0F068}"/>
    <hyperlink ref="D148" r:id="rId324" tooltip="TUI" display="https://www.flightradar24.com/data/airlines/x3-tui" xr:uid="{3B8FA45A-AD73-DC4C-9698-B4E63A1C96E6}"/>
    <hyperlink ref="C148" r:id="rId325" tooltip="Montego Bay Sangster International Airport, Jamaica" display="https://www.flightradar24.com/data/airports/mbj" xr:uid="{BA545EF8-5C72-D545-BBD1-B0365928FEBC}"/>
    <hyperlink ref="B148" r:id="rId326" tooltip="TB165" display="https://www.flightradar24.com/data/flights/tb165" xr:uid="{F1F5D19A-2147-7D45-BE64-01E302391899}"/>
    <hyperlink ref="E22" r:id="rId327" tooltip="D-AILD" display="https://www.flightradar24.com/data/aircraft/d-aild" xr:uid="{84347855-8123-914E-A373-ABF5A173FBFA}"/>
    <hyperlink ref="D22" r:id="rId328" tooltip="Lufthansa" display="https://www.flightradar24.com/data/airlines/lh-dlh" xr:uid="{6A7E8CB6-133D-5647-9D68-0C17CB1A781D}"/>
    <hyperlink ref="C22" r:id="rId329" tooltip="Frankfurt Airport, Germany" display="https://www.flightradar24.com/data/airports/fra" xr:uid="{7AB18BDB-8BE1-0840-ACFC-AE2C46A2800C}"/>
    <hyperlink ref="E14" r:id="rId330" tooltip="EI-HXA" display="https://www.flightradar24.com/data/aircraft/ei-hxa" xr:uid="{276752BF-0338-834B-9C51-06DCE40590E5}"/>
    <hyperlink ref="D14" r:id="rId331" tooltip="ITA Airways" display="https://www.flightradar24.com/data/airlines/az-ity" xr:uid="{659E3FC6-3CE6-F540-BF20-677CE7AA13C2}"/>
    <hyperlink ref="C14" r:id="rId332" tooltip="Rome Leonardo da Vinci Fiumicino Airport, Italy" display="https://www.flightradar24.com/data/airports/fco" xr:uid="{06ED248C-CE95-6C45-AC3F-03D55E43633F}"/>
    <hyperlink ref="E139" r:id="rId333" tooltip="N17128" display="https://www.flightradar24.com/data/aircraft/n17128" xr:uid="{BB45C7CB-FD8D-AA46-802F-D37D193EA8F6}"/>
    <hyperlink ref="D139" r:id="rId334" tooltip="United Airlines" display="https://www.flightradar24.com/data/airlines/ua-ual" xr:uid="{FE387055-3F66-D24C-ADED-E86140C4FF9A}"/>
    <hyperlink ref="C139" r:id="rId335" tooltip="New York Newark Liberty International Airport, United States" display="https://www.flightradar24.com/data/airports/ewr" xr:uid="{F8CB9B86-18C7-A84A-9601-88F653755E00}"/>
    <hyperlink ref="E16" r:id="rId336" tooltip="TC-LSP" display="https://www.flightradar24.com/data/aircraft/tc-lsp" xr:uid="{E8D833BE-D95F-FC46-90AE-98638CDF2394}"/>
    <hyperlink ref="D16" r:id="rId337" tooltip="Turkish Airlines" display="https://www.flightradar24.com/data/airlines/tk-thy" xr:uid="{910CA494-B2F7-B749-A6D8-5505FF2ECFAD}"/>
    <hyperlink ref="C16" r:id="rId338" tooltip="Istanbul Airport, Turkey" display="https://www.flightradar24.com/data/airports/ist" xr:uid="{FA9E4F01-C388-1B47-B29C-D0EB40634008}"/>
    <hyperlink ref="E50" r:id="rId339" tooltip="OO-SSY" display="https://www.flightradar24.com/data/aircraft/oo-ssy" xr:uid="{FB42729C-2190-324B-9B7B-BA0352209244}"/>
    <hyperlink ref="D50" r:id="rId340" tooltip="Brussels Airlines (Star Alliance Livery)" display="https://www.flightradar24.com/data/airlines/sn-bel" xr:uid="{A80DFE03-E183-C940-A774-3BD4FF30818B}"/>
    <hyperlink ref="C50" r:id="rId341" tooltip="Munich Airport, Germany" display="https://www.flightradar24.com/data/airports/muc" xr:uid="{5C6AF492-437A-874E-87C8-EC308E15AF61}"/>
    <hyperlink ref="E12" r:id="rId342" tooltip="SX-NEP" display="https://www.flightradar24.com/data/aircraft/sx-nep" xr:uid="{134BCE1C-9331-1246-A264-F259A2770CA4}"/>
    <hyperlink ref="D12" r:id="rId343" tooltip="Aegean Airlines" display="https://www.flightradar24.com/data/airlines/a3-aee" xr:uid="{29EC87E3-1C1E-6E4F-BD32-9D5A2EDEF8CF}"/>
    <hyperlink ref="C12" r:id="rId344" tooltip="Athens Eleftherios Venizelos, Greece" display="https://www.flightradar24.com/data/airports/ath" xr:uid="{7A6F59B6-43BB-A946-936B-C5CA74D27EDE}"/>
    <hyperlink ref="E78" r:id="rId345" tooltip="OO-SNE" display="https://www.flightradar24.com/data/aircraft/oo-sne" xr:uid="{241791EF-7D7D-6B43-9371-05B01C8AE553}"/>
    <hyperlink ref="D78" r:id="rId346" tooltip="Brussels Airlines" display="https://www.flightradar24.com/data/airlines/sn-bel" xr:uid="{231CD3A8-023A-D443-B587-C68C698CE22D}"/>
    <hyperlink ref="C78" r:id="rId347" tooltip="Zurich Airport, Switzerland" display="https://www.flightradar24.com/data/airports/zrh" xr:uid="{5DF1340A-C6C1-7142-BD03-74C87787A737}"/>
    <hyperlink ref="E10" r:id="rId348" tooltip="SE-ROL" display="https://www.flightradar24.com/data/aircraft/se-rol" xr:uid="{D435A5E8-7D4F-5B43-89FD-6E2FD06B6791}"/>
    <hyperlink ref="D10" r:id="rId349" tooltip="SAS" display="https://www.flightradar24.com/data/airlines/sk-sas" xr:uid="{3C649328-B086-D142-AE59-7804DA3F253A}"/>
    <hyperlink ref="C10" r:id="rId350" tooltip="Oslo Gardermoen Airport, Norway" display="https://www.flightradar24.com/data/airports/osl" xr:uid="{4DF45759-D042-7749-967C-FBCACEE776C6}"/>
    <hyperlink ref="E34" r:id="rId351" tooltip="OO-SSN" display="https://www.flightradar24.com/data/aircraft/oo-ssn" xr:uid="{1D02B930-CD37-524B-8465-CE3643B77B15}"/>
    <hyperlink ref="D34" r:id="rId352" tooltip="Brussels Airlines" display="https://www.flightradar24.com/data/airlines/sn-bel" xr:uid="{8FAD9D0B-6D47-6A4A-9449-AF08BC92ACBD}"/>
    <hyperlink ref="C34" r:id="rId353" tooltip="Milan Malpensa Airport, Italy" display="https://www.flightradar24.com/data/airports/mxp" xr:uid="{7E8D4668-6E21-534C-B747-8B5AF85BC943}"/>
    <hyperlink ref="E27" r:id="rId354" tooltip="OO-SSB" display="https://www.flightradar24.com/data/aircraft/oo-ssb" xr:uid="{BA1150F6-F580-8E4E-B024-D704C040CD9E}"/>
    <hyperlink ref="D27" r:id="rId355" tooltip="Brussels Airlines" display="https://www.flightradar24.com/data/airlines/sn-bel" xr:uid="{8B4DF5D9-BB3E-F74A-ABC8-4049F390B5E4}"/>
    <hyperlink ref="C27" r:id="rId356" tooltip="Frankfurt Airport, Germany" display="https://www.flightradar24.com/data/airports/fra" xr:uid="{94B5843E-7BF8-2147-980D-CEC1773CF114}"/>
    <hyperlink ref="E61" r:id="rId357" tooltip="EC-MBS" display="https://www.flightradar24.com/data/aircraft/ec-mbs" xr:uid="{EFBF3444-51CD-1643-A343-E9530BCAAA6A}"/>
    <hyperlink ref="D61" r:id="rId358" tooltip="Vueling" display="https://www.flightradar24.com/data/airlines/vy-vlg" xr:uid="{75A44E48-CF15-C540-8403-9D67E7613517}"/>
    <hyperlink ref="C61" r:id="rId359" tooltip="Malaga Costa Del Sol Airport, Spain" display="https://www.flightradar24.com/data/airports/agp" xr:uid="{CB4F6B33-25E7-5D43-8759-245400DAB9F5}"/>
    <hyperlink ref="E15" r:id="rId360" tooltip="G-NEOR" display="https://www.flightradar24.com/data/aircraft/g-neor" xr:uid="{3C369D34-1897-CD41-BAB2-2461D0D537AA}"/>
    <hyperlink ref="D15" r:id="rId361" tooltip="British Airways" display="https://www.flightradar24.com/data/airlines/ba-baw" xr:uid="{223A0D54-6C54-6B46-BBFB-250538F3FE9C}"/>
    <hyperlink ref="C15" r:id="rId362" tooltip="London Heathrow Airport, United Kingdom" display="https://www.flightradar24.com/data/airports/lhr" xr:uid="{AAE1AFEB-3BA6-614F-92C7-FF7A1D8C2C80}"/>
    <hyperlink ref="E137" r:id="rId363" tooltip="TC-SPH" display="https://www.flightradar24.com/data/aircraft/tc-sph" xr:uid="{C46732B5-1D37-274D-A105-041DF40B369A}"/>
    <hyperlink ref="D137" r:id="rId364" tooltip="SunExpress" display="https://www.flightradar24.com/data/airlines/xq-sxs" xr:uid="{745CBCAF-9AFB-8544-A01A-1D93D2B38BE0}"/>
    <hyperlink ref="C137" r:id="rId365" tooltip="Ankara Esenboga International Airport, Turkey" display="https://www.flightradar24.com/data/airports/esb" xr:uid="{6E979AAA-4F96-3B44-82BC-5C93A5D93865}"/>
    <hyperlink ref="E93" r:id="rId366" tooltip="OO-TCQ" display="https://www.flightradar24.com/data/aircraft/oo-tcq" xr:uid="{03F7C674-5E6F-AB4E-BA71-D6AE56DD5D26}"/>
    <hyperlink ref="D93" r:id="rId367" tooltip="Brussels Airlines" display="https://www.flightradar24.com/data/airlines/sn-bel" xr:uid="{E81561D0-643F-484A-930A-2D8097763083}"/>
    <hyperlink ref="C93" r:id="rId368" tooltip="Geneva International Airport, Switzerland" display="https://www.flightradar24.com/data/airports/gva" xr:uid="{650F45CF-ED3B-A44D-AADA-DCAF80A96E31}"/>
    <hyperlink ref="B93" r:id="rId369" tooltip="SN2712" display="https://www.flightradar24.com/data/flights/sn2712" xr:uid="{A42BE617-7361-CD4D-B541-43AFA916EDAE}"/>
    <hyperlink ref="E167" r:id="rId370" tooltip="SE-RSL" display="https://www.flightradar24.com/data/aircraft/se-rsl" xr:uid="{2F5A2F4A-CA0F-7847-B33E-29E60E6A6BF6}"/>
    <hyperlink ref="D167" r:id="rId371" tooltip="SAS" display="https://www.flightradar24.com/data/airlines/sk-sas" xr:uid="{5E1CA9EC-FFBC-AA42-9254-620E8F6F5E0B}"/>
    <hyperlink ref="C167" r:id="rId372" tooltip="Copenhagen Airport, Denmark" display="https://www.flightradar24.com/data/airports/cph" xr:uid="{5BAB4621-6660-7C47-8F2B-125B98EA4485}"/>
    <hyperlink ref="B167" r:id="rId373" tooltip="SK593" display="https://www.flightradar24.com/data/flights/sk593" xr:uid="{66D244E9-6F7C-4D4E-9431-F440C3BA2A26}"/>
    <hyperlink ref="E123" r:id="rId374" tooltip="EC-NZR" display="https://www.flightradar24.com/data/aircraft/ec-nzr" xr:uid="{46D15308-8B2D-3C4D-81B8-B2835A16581C}"/>
    <hyperlink ref="D123" r:id="rId375" tooltip="Air Europa" display="https://www.flightradar24.com/data/airlines/ux-aea" xr:uid="{EABC8D98-F756-4148-BFAC-AEF994CD70D8}"/>
    <hyperlink ref="C123" r:id="rId376" tooltip="Madrid Barajas Airport, Spain" display="https://www.flightradar24.com/data/airports/mad" xr:uid="{A5D855F5-ACF2-0443-A202-B266699F162F}"/>
    <hyperlink ref="B123" r:id="rId377" tooltip="UX1171" display="https://www.flightradar24.com/data/flights/ux1171" xr:uid="{4D03B146-DA0D-854B-80DA-58748697CEA1}"/>
    <hyperlink ref="E38" r:id="rId378" tooltip="OO-SSQ" display="https://www.flightradar24.com/data/aircraft/oo-ssq" xr:uid="{FB6BDD8F-62B7-6040-95A2-F2167C54ADF3}"/>
    <hyperlink ref="D38" r:id="rId379" tooltip="Brussels Airlines" display="https://www.flightradar24.com/data/airlines/sn-bel" xr:uid="{7D57F4CD-BDAA-314A-97FC-94BD14621EDC}"/>
    <hyperlink ref="C38" r:id="rId380" tooltip="London Heathrow Airport, United Kingdom" display="https://www.flightradar24.com/data/airports/lhr" xr:uid="{26B25FB2-3C8E-4D4E-A848-786231C02925}"/>
    <hyperlink ref="B38" r:id="rId381" tooltip="SN2106" display="https://www.flightradar24.com/data/flights/sn2106" xr:uid="{2C8D0181-B14F-8842-A9F5-AC97BB163AFA}"/>
    <hyperlink ref="E65" r:id="rId382" tooltip="EI-DES" display="https://www.flightradar24.com/data/aircraft/ei-des" xr:uid="{98EBC264-C304-6D4A-9AF0-C63B80C7B40D}"/>
    <hyperlink ref="D65" r:id="rId383" tooltip="Aer Lingus" display="https://www.flightradar24.com/data/airlines/ei-ein" xr:uid="{AC42EBF1-E1C5-AD41-BA1C-489A4472CB3B}"/>
    <hyperlink ref="C65" r:id="rId384" tooltip="Dublin Airport, Ireland" display="https://www.flightradar24.com/data/airports/dub" xr:uid="{B075D00D-C51E-2748-9A07-6620B78558C7}"/>
    <hyperlink ref="B65" r:id="rId385" tooltip="EI630" display="https://www.flightradar24.com/data/flights/ei630" xr:uid="{71065F41-7830-AF4D-91F3-EC267ED3913B}"/>
    <hyperlink ref="E166" r:id="rId386" tooltip="PH-EZC" display="https://www.flightradar24.com/data/aircraft/ph-ezc" xr:uid="{11D8E6E2-48D5-DF45-A96B-50BB7C71BF24}"/>
    <hyperlink ref="D166" r:id="rId387" tooltip="KLM" display="https://www.flightradar24.com/data/airlines/kl-klm" xr:uid="{3B8BC0BC-84C3-EA43-A01E-B3F9772DFC7D}"/>
    <hyperlink ref="C166" r:id="rId388" tooltip="Amsterdam Schiphol Airport, Netherlands" display="https://www.flightradar24.com/data/airports/ams" xr:uid="{7C06F0BC-2B22-FC48-ACC6-9A4E643630E4}"/>
    <hyperlink ref="B166" r:id="rId389" tooltip="KL1703" display="https://www.flightradar24.com/data/flights/kl1703" xr:uid="{733CDC27-B72C-F14E-A723-D7D4F7464C73}"/>
    <hyperlink ref="E62" r:id="rId390" tooltip="EC-MKM" display="https://www.flightradar24.com/data/aircraft/ec-mkm" xr:uid="{62F2ADF3-ACB8-344A-934D-79836F6E0F2D}"/>
    <hyperlink ref="D62" r:id="rId391" tooltip="Vueling" display="https://www.flightradar24.com/data/airlines/vy-vlg" xr:uid="{206B2DEF-D37C-1D48-B8FF-9E6B9736FCC0}"/>
    <hyperlink ref="C62" r:id="rId392" tooltip="Alicante Airport, Spain" display="https://www.flightradar24.com/data/airports/alc" xr:uid="{7ABD3001-9A20-8646-9287-1C39029CE3F9}"/>
    <hyperlink ref="B62" r:id="rId393" tooltip="VY1334" display="https://www.flightradar24.com/data/flights/vy1334" xr:uid="{6A3338C4-9F42-F249-8D80-B4770642BCE7}"/>
    <hyperlink ref="E90" r:id="rId394" tooltip="OO-SNQ" display="https://www.flightradar24.com/data/aircraft/oo-snq" xr:uid="{E4242345-0B3B-7449-9F15-169252779AD5}"/>
    <hyperlink ref="D90" r:id="rId395" tooltip="Brussels Airlines (Star Alliance Livery)" display="https://www.flightradar24.com/data/airlines/sn-bel" xr:uid="{D5175C57-059A-CA4E-A62F-671DF995BA02}"/>
    <hyperlink ref="C90" r:id="rId396" tooltip="Paris Charles de Gaulle Airport, France" display="https://www.flightradar24.com/data/airports/cdg" xr:uid="{2C897801-5165-2641-B99E-D25D491FAE7C}"/>
    <hyperlink ref="E127" r:id="rId397" tooltip="EI-EVS" display="https://www.flightradar24.com/data/aircraft/ei-evs" xr:uid="{47553B40-2527-F443-BE30-441B632BAB1B}"/>
    <hyperlink ref="D127" r:id="rId398" tooltip="Ryanair" display="https://www.flightradar24.com/data/airlines/fr-ryr" xr:uid="{3132360D-B85C-B844-BEB6-66194813A147}"/>
    <hyperlink ref="C127" r:id="rId399" tooltip="Porto Francisco de Sa Carneiro Airport, Portugal" display="https://www.flightradar24.com/data/airports/opo" xr:uid="{1ACEE1CA-23EF-794A-B113-0AE2CFB0E9FB}"/>
    <hyperlink ref="B127" r:id="rId400" tooltip="FR2929" display="https://www.flightradar24.com/data/flights/fr2929" xr:uid="{099ADF71-04FD-E742-92F1-E5509B502DF4}"/>
    <hyperlink ref="E168" r:id="rId401" tooltip="SP-LNA" display="https://www.flightradar24.com/data/aircraft/sp-lna" xr:uid="{480812D2-2D99-CC42-9952-AC78E9F542F3}"/>
    <hyperlink ref="D168" r:id="rId402" tooltip="LOT (Podkarpackie Livery)" display="https://www.flightradar24.com/data/airlines/lo-lot" xr:uid="{698861C6-1882-2045-B6AB-02D722EDF7B2}"/>
    <hyperlink ref="C168" r:id="rId403" tooltip="Warsaw Chopin Airport, Poland" display="https://www.flightradar24.com/data/airports/waw" xr:uid="{80A58A56-37A2-BC4F-A057-2F783C4274C1}"/>
    <hyperlink ref="B168" r:id="rId404" tooltip="LO235" display="https://www.flightradar24.com/data/flights/lo235" xr:uid="{D11C3537-76C7-2E4E-9337-3F7F34DF0873}"/>
    <hyperlink ref="E60" r:id="rId405" tooltip="EC-LOC" display="https://www.flightradar24.com/data/aircraft/ec-loc" xr:uid="{6FC12DDC-4C33-E84A-B43A-BF5427A92549}"/>
    <hyperlink ref="D60" r:id="rId406" tooltip="Vueling" display="https://www.flightradar24.com/data/airlines/vy-vlg" xr:uid="{40DDB660-56D0-6F47-B552-83E631704610}"/>
    <hyperlink ref="C60" r:id="rId407" tooltip="Valencia Airport, Spain" display="https://www.flightradar24.com/data/airports/vlc" xr:uid="{5B7417F0-E9F7-7849-ABF1-6418255A9E2D}"/>
    <hyperlink ref="E101" r:id="rId408" tooltip="YR-DSE" display="https://www.flightradar24.com/data/aircraft/yr-dse" xr:uid="{49C66317-795D-F146-A218-EEB40517557F}"/>
    <hyperlink ref="D101" r:id="rId409" tooltip="Dan Air" display="https://www.flightradar24.com/data/airlines/dn-joc" xr:uid="{C821CDE9-8241-F441-AB61-0D93BFA1B3F3}"/>
    <hyperlink ref="C101" r:id="rId410" tooltip="Bacau International Airport, Romania" display="https://www.flightradar24.com/data/airports/bcm" xr:uid="{E397A6A3-62C6-6F44-B2C9-493CCFE84A1C}"/>
    <hyperlink ref="E63" r:id="rId411" tooltip="EC-MKN" display="https://www.flightradar24.com/data/aircraft/ec-mkn" xr:uid="{A6C2EC44-068C-5D48-85C3-67BB5AD3E095}"/>
    <hyperlink ref="D63" r:id="rId412" tooltip="Vueling" display="https://www.flightradar24.com/data/airlines/vy-vlg" xr:uid="{14917FFD-C287-1948-BC91-8DFC741F4357}"/>
    <hyperlink ref="C63" r:id="rId413" tooltip="Barcelona El Prat Airport, Spain" display="https://www.flightradar24.com/data/airports/bcn" xr:uid="{9B3AF28F-448B-CB41-858D-5CC0F02A1DB7}"/>
    <hyperlink ref="E74" r:id="rId414" tooltip="OE-LXB" display="https://www.flightradar24.com/data/aircraft/oe-lxb" xr:uid="{AA8A57AD-5CBB-3D4B-96AD-E4CA35BD2530}"/>
    <hyperlink ref="D74" r:id="rId415" tooltip="Austrian Airlines" display="https://www.flightradar24.com/data/airlines/os-aua" xr:uid="{6402513D-7546-DD49-BE29-9E926FA7D9FC}"/>
    <hyperlink ref="C74" r:id="rId416" tooltip="Vienna International Airport, Austria" display="https://www.flightradar24.com/data/airports/vie" xr:uid="{42FF0EEC-18B1-6C49-93A9-21B1820CFF13}"/>
    <hyperlink ref="E159" r:id="rId417" tooltip="YL-ABM" display="https://www.flightradar24.com/data/aircraft/yl-abm" xr:uid="{08EA8A1C-42EB-A246-A2C5-70BC767034FB}"/>
    <hyperlink ref="D159" r:id="rId418" tooltip="Air Baltic" display="https://www.flightradar24.com/data/airlines/bt-bti" xr:uid="{430FE1FB-14C7-0342-B936-3F5B47CC40FD}"/>
    <hyperlink ref="C159" r:id="rId419" tooltip="Tallinn Lennart Meri Airport , Estonia" display="https://www.flightradar24.com/data/airports/tll" xr:uid="{EB9B7182-8EBC-544B-A4B2-59BF674819D0}"/>
    <hyperlink ref="E154" r:id="rId420" tooltip="N91007" display="https://www.flightradar24.com/data/aircraft/n91007" xr:uid="{C6838FE4-E62B-1340-9600-3CBC6282F765}"/>
    <hyperlink ref="D154" r:id="rId421" tooltip="United Airlines" display="https://www.flightradar24.com/data/airlines/ua-ual" xr:uid="{C04A58C6-DEDD-4A42-9F99-984945C7B1B4}"/>
    <hyperlink ref="C154" r:id="rId422" tooltip="Chicago O'Hare International Airport, United States" display="https://www.flightradar24.com/data/airports/ord" xr:uid="{068898CD-8DE3-184D-8287-101A928F3044}"/>
    <hyperlink ref="E162" r:id="rId423" tooltip="D-CARO" display="https://www.flightradar24.com/data/aircraft/d-caro" xr:uid="{4FF61ADF-DA5D-3641-8A53-137376DBDC8A}"/>
    <hyperlink ref="C162" r:id="rId424" tooltip="Stuttgart Airport, Germany" display="https://www.flightradar24.com/data/airports/str" xr:uid="{A09DF187-3D50-F844-B512-8C2D0738D670}"/>
    <hyperlink ref="B162" r:id="rId425" display="https://www.flightradar24.com/data/flights/" xr:uid="{627C8B35-FB45-0D43-9FBA-B05595B2977E}"/>
    <hyperlink ref="E126" r:id="rId426" tooltip="EI-EVH" display="https://www.flightradar24.com/data/aircraft/ei-evh" xr:uid="{A6BA49C9-0804-8743-85D6-FC049EE33920}"/>
    <hyperlink ref="D126" r:id="rId427" tooltip="Ryanair" display="https://www.flightradar24.com/data/airlines/fr-ryr" xr:uid="{C0DE91C9-A258-B149-B7E0-FB61D2B2178B}"/>
    <hyperlink ref="C126" r:id="rId428" tooltip="Dublin Airport, Ireland" display="https://www.flightradar24.com/data/airports/dub" xr:uid="{DA99B9A4-70D9-3440-AFBC-31B618A5E756}"/>
    <hyperlink ref="B126" r:id="rId429" tooltip="FR657" display="https://www.flightradar24.com/data/flights/fr657" xr:uid="{14609671-54F5-4144-89F7-2C4C727C157C}"/>
    <hyperlink ref="E158" r:id="rId430" tooltip="YL-ABC" display="https://www.flightradar24.com/data/aircraft/yl-abc" xr:uid="{D3A30B13-F05E-C146-8E60-00FA3213F31C}"/>
    <hyperlink ref="D158" r:id="rId431" tooltip="Air Baltic" display="https://www.flightradar24.com/data/airlines/bt-bti" xr:uid="{73D1B353-93C4-2144-84B5-5337C181DDF5}"/>
    <hyperlink ref="C158" r:id="rId432" tooltip="Riga International Airport, Latvia" display="https://www.flightradar24.com/data/airports/rix" xr:uid="{AC053388-AA17-5C45-B324-9F66355F3C92}"/>
    <hyperlink ref="E25" r:id="rId433" tooltip="OO-SSA" display="https://www.flightradar24.com/data/aircraft/oo-ssa" xr:uid="{31966A93-3796-0B45-BBBF-58FEB8C396EF}"/>
    <hyperlink ref="D25" r:id="rId434" tooltip="Brussels Airlines" display="https://www.flightradar24.com/data/airlines/sn-bel" xr:uid="{BF7EDBEE-2704-CE41-920A-016535262DAC}"/>
    <hyperlink ref="C25" r:id="rId435" tooltip="Stockholm Arlanda Airport, Sweden" display="https://www.flightradar24.com/data/airports/arn" xr:uid="{9A7CA485-C3B6-9143-804F-96C272CDB1E1}"/>
    <hyperlink ref="E8" r:id="rId436" tooltip="OO-SBC" display="https://www.flightradar24.com/data/aircraft/oo-sbc" xr:uid="{A7317BFF-9A86-284E-82CC-C6DB0DA780BE}"/>
    <hyperlink ref="D8" r:id="rId437" tooltip="Brussels Airlines" display="https://www.flightradar24.com/data/airlines/sn-bel" xr:uid="{73616BFF-452F-E443-A3EB-A66E30FF6A11}"/>
    <hyperlink ref="C8" r:id="rId438" tooltip="London Heathrow Airport, United Kingdom" display="https://www.flightradar24.com/data/airports/lhr" xr:uid="{623AA9A5-A321-084D-A976-04F4D123CC0E}"/>
    <hyperlink ref="E70" r:id="rId439" tooltip="HB-IJI" display="https://www.flightradar24.com/data/aircraft/hb-iji" xr:uid="{B887EFAA-BB97-5D4F-A905-4D897B58D162}"/>
    <hyperlink ref="D70" r:id="rId440" tooltip="Swiss" display="https://www.flightradar24.com/data/airlines/lx-swr" xr:uid="{1D6B8392-E3C0-5847-8F3B-6E4E43B72C58}"/>
    <hyperlink ref="C70" r:id="rId441" tooltip="Zurich Airport, Switzerland" display="https://www.flightradar24.com/data/airports/zrh" xr:uid="{2FFC8296-4204-F44F-9B3B-6113BBFECC4D}"/>
    <hyperlink ref="E52" r:id="rId442" tooltip="YU-APM" display="https://www.flightradar24.com/data/aircraft/yu-apm" xr:uid="{4DEAD450-B639-0842-930D-483DD6D7B522}"/>
    <hyperlink ref="D52" r:id="rId443" tooltip="AirSERBIA" display="https://www.flightradar24.com/data/airlines/ju-asl" xr:uid="{0E5DA120-9D31-6B4A-B126-72B12A6D20BE}"/>
    <hyperlink ref="C52" r:id="rId444" tooltip="Belgrade Nikola Tesla Airport, Serbia" display="https://www.flightradar24.com/data/airports/beg" xr:uid="{C4D6A6FF-8D5F-9243-A169-473F3632FCCE}"/>
    <hyperlink ref="E75" r:id="rId445" tooltip="OO-SNB" display="https://www.flightradar24.com/data/aircraft/oo-snb" xr:uid="{ADF9A5AA-D49C-9246-B056-A50ADA5E869E}"/>
    <hyperlink ref="D75" r:id="rId446" tooltip="Brussels Airlines (Tintin comics Livery)" display="https://www.flightradar24.com/data/airlines/sn-bel" xr:uid="{1BF2C819-2ECF-374C-9235-C4AE05860884}"/>
    <hyperlink ref="C75" r:id="rId447" tooltip="Oslo Gardermoen Airport, Norway" display="https://www.flightradar24.com/data/airports/osl" xr:uid="{95988836-DCF1-F640-9DD7-EAE335C048F9}"/>
    <hyperlink ref="E140" r:id="rId448" tooltip="N1201P" display="https://www.flightradar24.com/data/aircraft/n1201p" xr:uid="{BA1F8F3A-2594-AC47-9BE9-FB19E12098FD}"/>
    <hyperlink ref="D140" r:id="rId449" tooltip="Delta Air Lines" display="https://www.flightradar24.com/data/airlines/dl-dal" xr:uid="{798D377E-1A48-DE4F-887B-04C707E4C20D}"/>
    <hyperlink ref="C140" r:id="rId450" tooltip="New York John F. Kennedy International Airport, United States" display="https://www.flightradar24.com/data/airports/jfk" xr:uid="{39352119-9217-3C42-9CBB-AE29FBBCA4C4}"/>
    <hyperlink ref="E46" r:id="rId451" tooltip="OO-SSW" display="https://www.flightradar24.com/data/aircraft/oo-ssw" xr:uid="{60C0CAFC-1B62-934B-B5BE-C551800EBDEA}"/>
    <hyperlink ref="D46" r:id="rId452" tooltip="Brussels Airlines" display="https://www.flightradar24.com/data/airlines/sn-bel" xr:uid="{09C6621E-E2DC-7A4C-88FB-EA7A8846D89A}"/>
    <hyperlink ref="C46" r:id="rId453" tooltip="Venice Marco Polo Airport, Italy" display="https://www.flightradar24.com/data/airports/vce" xr:uid="{6BCBC34F-CA3E-4E43-A563-A274EE8AF853}"/>
    <hyperlink ref="E88" r:id="rId454" tooltip="OO-SNP" display="https://www.flightradar24.com/data/aircraft/oo-snp" xr:uid="{0F29B5A5-681A-8244-A357-950BA011FB90}"/>
    <hyperlink ref="D88" r:id="rId455" tooltip="Brussels Airlines (Star Alliance Livery)" display="https://www.flightradar24.com/data/airlines/sn-bel" xr:uid="{2CDC2484-6DDB-4A4F-BFEF-0BF2053BFC85}"/>
    <hyperlink ref="C88" r:id="rId456" tooltip="Budapest Ferenc Liszt International Airport, Hungary" display="https://www.flightradar24.com/data/airports/bud" xr:uid="{8DBB9822-A884-4742-8D50-F62BFCFFAFBD}"/>
    <hyperlink ref="E40" r:id="rId457" tooltip="OO-SSS" display="https://www.flightradar24.com/data/aircraft/oo-sss" xr:uid="{48311976-FD93-4241-A575-0F4B1D426122}"/>
    <hyperlink ref="D40" r:id="rId458" tooltip="Brussels Airlines" display="https://www.flightradar24.com/data/airlines/sn-bel" xr:uid="{9C12B127-6DA6-9146-8D4A-C63A2BBEC00D}"/>
    <hyperlink ref="C40" r:id="rId459" tooltip="Gothenburg Landvetter Airport, Sweden" display="https://www.flightradar24.com/data/airports/got" xr:uid="{EAA15F18-9B8C-4045-85F2-9FF19A5830B0}"/>
    <hyperlink ref="E164" r:id="rId460" tooltip="9A-CQF" display="https://www.flightradar24.com/data/aircraft/9a-cqf" xr:uid="{3348C116-DF61-244B-8C77-FA713B8AECAB}"/>
    <hyperlink ref="D164" r:id="rId461" tooltip="Croatia Airlines" display="https://www.flightradar24.com/data/airlines/ou-ctn" xr:uid="{C2F919EE-066B-C040-8EFF-ACF1ADC65878}"/>
    <hyperlink ref="C164" r:id="rId462" tooltip="Zagreb Franjo Tudman Airport, Croatia" display="https://www.flightradar24.com/data/airports/zag" xr:uid="{47F3E0E3-1D5F-AD49-8D7D-2139C3209F49}"/>
    <hyperlink ref="E86" r:id="rId463" tooltip="OO-SNN" display="https://www.flightradar24.com/data/aircraft/oo-snn" xr:uid="{3DC895BC-330E-9246-B253-EB8CD08F686A}"/>
    <hyperlink ref="D86" r:id="rId464" tooltip="Brussels Airlines" display="https://www.flightradar24.com/data/airlines/sn-bel" xr:uid="{E28EC8DF-285B-9444-B9C6-311E679398AA}"/>
    <hyperlink ref="C86" r:id="rId465" tooltip="Madrid Barajas Airport, Spain" display="https://www.flightradar24.com/data/airports/mad" xr:uid="{24C0827A-73E3-D447-AA51-3D4339D86330}"/>
    <hyperlink ref="E48" r:id="rId466" tooltip="OO-SSX" display="https://www.flightradar24.com/data/aircraft/oo-ssx" xr:uid="{D3EBA753-0FBF-E64B-9F75-535FC5AAE050}"/>
    <hyperlink ref="D48" r:id="rId467" tooltip="Brussels Airlines" display="https://www.flightradar24.com/data/airlines/sn-bel" xr:uid="{5BA9D435-34EE-744E-875B-06C0EA77D576}"/>
    <hyperlink ref="C48" r:id="rId468" tooltip="Toulouse Blagnac Airport, France" display="https://www.flightradar24.com/data/airports/tls" xr:uid="{C5D8EA82-30A2-544A-BFFF-03333FF5C1CA}"/>
    <hyperlink ref="E94" r:id="rId469" tooltip="OO-TCV" display="https://www.flightradar24.com/data/aircraft/oo-tcv" xr:uid="{860DE721-A7B6-6143-96BE-F1B636862D43}"/>
    <hyperlink ref="D94" r:id="rId470" tooltip="Brussels Airlines (Yes to Europe Livery)" display="https://www.flightradar24.com/data/airlines/sn-bel" xr:uid="{3B51B900-5F76-974D-B21B-A17F4CD3279E}"/>
    <hyperlink ref="C94" r:id="rId471" tooltip="Lyon Saint Exupery Airport, France" display="https://www.flightradar24.com/data/airports/lys" xr:uid="{E3B039D8-0503-1E47-989B-35E6F5BFE4A4}"/>
    <hyperlink ref="E32" r:id="rId472" tooltip="OO-SSL" display="https://www.flightradar24.com/data/aircraft/oo-ssl" xr:uid="{7F045BCA-1476-EE41-859A-0C79AC0CD434}"/>
    <hyperlink ref="D32" r:id="rId473" tooltip="Brussels Airlines" display="https://www.flightradar24.com/data/airlines/sn-bel" xr:uid="{11C9DB6A-2557-4A47-A706-D46D76ACED1F}"/>
    <hyperlink ref="C32" r:id="rId474" tooltip="Manchester Airport, United Kingdom" display="https://www.flightradar24.com/data/airports/man" xr:uid="{83C3E191-7171-7F4B-8A31-EC4A2D30F303}"/>
    <hyperlink ref="E24" r:id="rId475" tooltip="EI-IMV" display="https://www.flightradar24.com/data/aircraft/ei-imv" xr:uid="{D058ADCE-6836-1D42-B5D3-4B2BA51BE683}"/>
    <hyperlink ref="D24" r:id="rId476" tooltip="ITA Airways" display="https://www.flightradar24.com/data/airlines/az-ity" xr:uid="{E021C31B-2BE1-D740-990C-0F0AB467E457}"/>
    <hyperlink ref="C24" r:id="rId477" tooltip="Milan Linate Airport, Italy" display="https://www.flightradar24.com/data/airports/lin" xr:uid="{DA010D8E-D253-4648-86D2-F209E468A8FF}"/>
    <hyperlink ref="B24" r:id="rId478" tooltip="AZ148" display="https://www.flightradar24.com/data/flights/az148" xr:uid="{332286B3-E0B9-A84F-90FF-6D2925BA85BD}"/>
    <hyperlink ref="E44" r:id="rId479" tooltip="OO-SSV" display="https://www.flightradar24.com/data/aircraft/oo-ssv" xr:uid="{84C8372A-447A-9C40-ACC6-1EF8DD5F6EA0}"/>
    <hyperlink ref="D44" r:id="rId480" tooltip="Brussels Airlines" display="https://www.flightradar24.com/data/airlines/sn-bel" xr:uid="{F4A36DD9-811C-2A44-B7A8-350533C7B6BC}"/>
    <hyperlink ref="C44" r:id="rId481" tooltip="Marseille Provence Airport, France" display="https://www.flightradar24.com/data/airports/mrs" xr:uid="{1FFF9EFA-3841-EB4E-BDDC-3E217A25CAD7}"/>
    <hyperlink ref="E42" r:id="rId482" tooltip="OO-SSU" display="https://www.flightradar24.com/data/aircraft/oo-ssu" xr:uid="{802C63C1-D91F-204D-86F2-81FACE771C40}"/>
    <hyperlink ref="D42" r:id="rId483" tooltip="Brussels Airlines" display="https://www.flightradar24.com/data/airlines/sn-bel" xr:uid="{F00086BA-DF9E-FB44-8AEE-858F6075864A}"/>
    <hyperlink ref="C42" r:id="rId484" tooltip="Milan Linate Airport, Italy" display="https://www.flightradar24.com/data/airports/lin" xr:uid="{513109BD-D969-044F-B25A-66FCB1F564C1}"/>
    <hyperlink ref="E91" r:id="rId485" tooltip="OO-TCH" display="https://www.flightradar24.com/data/aircraft/oo-tch" xr:uid="{D24CF5C2-B777-EC41-BF6C-E3434DEC5F24}"/>
    <hyperlink ref="D91" r:id="rId486" tooltip="Brussels Airlines" display="https://www.flightradar24.com/data/airlines/sn-bel" xr:uid="{FB858C51-E668-0541-BD2B-3B32C48C5306}"/>
    <hyperlink ref="C91" r:id="rId487" tooltip="Copenhagen Airport, Denmark" display="https://www.flightradar24.com/data/airports/cph" xr:uid="{E1A6DE04-DD8B-6841-A84F-969A37877474}"/>
    <hyperlink ref="E113" r:id="rId488" tooltip="EI-HGG" display="https://www.flightradar24.com/data/aircraft/ei-hgg" xr:uid="{B7B7953E-958C-6D49-B74C-45EE4A17379F}"/>
    <hyperlink ref="D113" r:id="rId489" tooltip="Ryanair" display="https://www.flightradar24.com/data/airlines/fr-ryr" xr:uid="{1938E2AF-6870-7B42-BCDF-7AB9544FB233}"/>
    <hyperlink ref="C113" r:id="rId490" tooltip="Madrid Barajas Airport, Spain" display="https://www.flightradar24.com/data/airports/mad" xr:uid="{65D4FA07-552E-3944-BEAE-787BF1769F54}"/>
    <hyperlink ref="B113" r:id="rId491" tooltip="FR2948" display="https://www.flightradar24.com/data/flights/fr2948" xr:uid="{EE250733-B1F0-AC47-A50F-A1CDB1A8A019}"/>
    <hyperlink ref="E29" r:id="rId492" tooltip="OO-SSF" display="https://www.flightradar24.com/data/aircraft/oo-ssf" xr:uid="{7F85905A-35CB-4949-AD05-CDE3AB511EDB}"/>
    <hyperlink ref="D29" r:id="rId493" tooltip="Brussels Airlines" display="https://www.flightradar24.com/data/airlines/sn-bel" xr:uid="{C05392DA-243A-294A-89A4-7457BD61CD13}"/>
    <hyperlink ref="C29" r:id="rId494" tooltip="Prague Vaclav Havel Airport, Czechia" display="https://www.flightradar24.com/data/airports/prg" xr:uid="{E7188DFB-7010-ED43-B36F-EA7EEFD2B4D5}"/>
    <hyperlink ref="E85" r:id="rId495" tooltip="OO-SNM" display="https://www.flightradar24.com/data/aircraft/oo-snm" xr:uid="{A1874312-05B7-3342-88BD-3E2A0E577A5D}"/>
    <hyperlink ref="D85" r:id="rId496" tooltip="Brussels Airlines" display="https://www.flightradar24.com/data/airlines/sn-bel" xr:uid="{E3CEBACE-CD7E-0247-A559-6E01B6ED1471}"/>
    <hyperlink ref="C85" r:id="rId497" tooltip="Berlin Brandenburg Airport, Germany" display="https://www.flightradar24.com/data/airports/ber" xr:uid="{8B72406E-93D2-CC41-B35C-4B4E60201FE1}"/>
    <hyperlink ref="E36" r:id="rId498" tooltip="OO-SSO" display="https://www.flightradar24.com/data/aircraft/oo-sso" xr:uid="{215242D4-2143-AC4B-9E9E-7A3AEFE1B4C8}"/>
    <hyperlink ref="D36" r:id="rId499" tooltip="Brussels Airlines" display="https://www.flightradar24.com/data/airlines/sn-bel" xr:uid="{D72A62AA-EE48-E940-AEB2-9FE2D4106869}"/>
    <hyperlink ref="C36" r:id="rId500" tooltip="Hamburg Airport, Germany" display="https://www.flightradar24.com/data/airports/ham" xr:uid="{6E4307C4-35F8-9543-BE45-0B2FFAFE3650}"/>
    <hyperlink ref="E21" r:id="rId501" tooltip="D-AIBL" display="https://www.flightradar24.com/data/aircraft/d-aibl" xr:uid="{9E33ED81-F554-2543-ABB0-1B075A16DD42}"/>
    <hyperlink ref="D21" r:id="rId502" tooltip="Lufthansa" display="https://www.flightradar24.com/data/airlines/lh-dlh" xr:uid="{E6B8F9EB-0B1C-5E4E-B2C7-74F7E00BBAE9}"/>
    <hyperlink ref="C21" r:id="rId503" tooltip="Munich Airport, Germany" display="https://www.flightradar24.com/data/airports/muc" xr:uid="{4D39ACC2-874C-E94B-AADD-F72A34BB8CF3}"/>
    <hyperlink ref="E157" r:id="rId504" tooltip="HB-JCF" display="https://www.flightradar24.com/data/aircraft/hb-jcf" xr:uid="{68FE2D33-E7C7-424F-884A-3BDEA5B3112E}"/>
    <hyperlink ref="D157" r:id="rId505" tooltip="Swiss" display="https://www.flightradar24.com/data/airlines/lx-swr" xr:uid="{210AA525-F8DB-264D-ABAB-4E8BEE36B5E1}"/>
    <hyperlink ref="C157" r:id="rId506" tooltip="Geneva International Airport, Switzerland" display="https://www.flightradar24.com/data/airports/gva" xr:uid="{7E2F25C2-F6C6-E64B-9448-6EE36D3B7355}"/>
    <hyperlink ref="B157" r:id="rId507" tooltip="LX790" display="https://www.flightradar24.com/data/flights/lx790" xr:uid="{75DE0003-C601-B242-B0BC-158774B684E5}"/>
    <hyperlink ref="E150" r:id="rId508" tooltip="B-1345" display="https://www.flightradar24.com/data/aircraft/b-1345" xr:uid="{9E6D05BD-2306-464B-BDE4-82A0D3CF65E1}"/>
    <hyperlink ref="D150" r:id="rId509" tooltip="Hainan Airlines" display="https://www.flightradar24.com/data/airlines/hu-chh" xr:uid="{946DB289-F3B7-304D-AB60-3308FCAFD63E}"/>
    <hyperlink ref="C150" r:id="rId510" tooltip="Shenzhen Bao'an International Airport, China" display="https://www.flightradar24.com/data/airports/szx" xr:uid="{F5BBAF29-1814-024D-A5A5-013092B378A5}"/>
    <hyperlink ref="B150" r:id="rId511" tooltip="HU759" display="https://www.flightradar24.com/data/flights/hu759" xr:uid="{9D1A9482-5B1D-734E-8397-41C8BE1B24DA}"/>
    <hyperlink ref="E57" r:id="rId512" tooltip="D-AIZT" display="https://www.flightradar24.com/data/aircraft/d-aizt" xr:uid="{56AC3FF6-7902-6C42-9332-72DFA201CB4E}"/>
    <hyperlink ref="D57" r:id="rId513" tooltip="Lufthansa" display="https://www.flightradar24.com/data/airlines/lh-dlh" xr:uid="{C61B5486-2F1F-0D41-83EF-970E29FFE81C}"/>
    <hyperlink ref="C57" r:id="rId514" tooltip="Frankfurt Airport, Germany" display="https://www.flightradar24.com/data/airports/fra" xr:uid="{0BB55696-511A-C94B-A5A6-8166C9B6258B}"/>
    <hyperlink ref="B57" r:id="rId515" tooltip="LH1004" display="https://www.flightradar24.com/data/flights/lh1004" xr:uid="{6A88D2C1-3C5B-0B47-97FF-7ABBD02B9994}"/>
    <hyperlink ref="E13" r:id="rId516" tooltip="C-GOIK" display="https://www.flightradar24.com/data/aircraft/c-goik" xr:uid="{265513D5-3C90-4D43-8837-F79D20FB6BE2}"/>
    <hyperlink ref="D13" r:id="rId517" tooltip="Air Transat" display="https://www.flightradar24.com/data/airlines/ts-tsc" xr:uid="{279A5004-2C92-C94A-AF80-F45D483A2FEE}"/>
    <hyperlink ref="C13" r:id="rId518" tooltip="Montreal Pierre Elliott Trudeau Airport, Canada" display="https://www.flightradar24.com/data/airports/yul" xr:uid="{280D16CC-6CCC-904A-B5DE-F4D7AECA3418}"/>
    <hyperlink ref="B13" r:id="rId519" tooltip="TS154" display="https://www.flightradar24.com/data/flights/ts154" xr:uid="{6015531E-8995-4041-BB12-F09230B667E5}"/>
    <hyperlink ref="E110" r:id="rId520" tooltip="OO-SFJ" display="https://www.flightradar24.com/data/aircraft/oo-sfj" xr:uid="{260EFDDE-5F9A-144B-AA86-0A42D61F7E7A}"/>
    <hyperlink ref="D110" r:id="rId521" tooltip="Brussels Airlines" display="https://www.flightradar24.com/data/airlines/sn-bel" xr:uid="{7C6CC18C-056C-3641-A735-6504484F89AF}"/>
    <hyperlink ref="C110" r:id="rId522" tooltip="Washington Dulles International Airport, United States" display="https://www.flightradar24.com/data/airports/iad" xr:uid="{91B3AA36-80F7-5A4E-9846-9F6A8A173EA9}"/>
    <hyperlink ref="B110" r:id="rId523" tooltip="SN516" display="https://www.flightradar24.com/data/flights/sn516" xr:uid="{194615C7-C310-B143-AECA-9D33D3ED8205}"/>
    <hyperlink ref="E153" r:id="rId524" tooltip="N17017" display="https://www.flightradar24.com/data/aircraft/n17017" xr:uid="{0BC68287-5255-1542-8094-22796D858DE6}"/>
    <hyperlink ref="D153" r:id="rId525" tooltip="United Airlines" display="https://www.flightradar24.com/data/airlines/ua-ual" xr:uid="{1EBFFD8A-14A4-154D-8EE6-67272D43AF17}"/>
    <hyperlink ref="C153" r:id="rId526" tooltip="New York Newark Liberty International Airport, United States" display="https://www.flightradar24.com/data/airports/ewr" xr:uid="{7D85E38B-7C61-BA4C-BC14-1C98A55C6658}"/>
    <hyperlink ref="B153" r:id="rId527" tooltip="UA999" display="https://www.flightradar24.com/data/flights/ua999" xr:uid="{0B4728A6-16F8-7042-8ADE-469BA4ACABCE}"/>
    <hyperlink ref="E152" r:id="rId528" tooltip="C-FRTW" display="https://www.flightradar24.com/data/aircraft/c-frtw" xr:uid="{3F85B863-04F5-2A4D-ABD2-0B404D07BC27}"/>
    <hyperlink ref="D152" r:id="rId529" tooltip="Air Canada" display="https://www.flightradar24.com/data/airlines/ac-aca" xr:uid="{8B0B5D71-F18C-584E-BFFB-6B0E9638A1AC}"/>
    <hyperlink ref="C152" r:id="rId530" tooltip="Toronto Pearson International Airport, Canada" display="https://www.flightradar24.com/data/airports/yyz" xr:uid="{00EA1B9A-3236-3C4C-AE83-50F4844D1864}"/>
    <hyperlink ref="B152" r:id="rId531" tooltip="AC826" display="https://www.flightradar24.com/data/flights/ac826" xr:uid="{E8D2868A-CF7C-A74C-8379-23337E0CDF0F}"/>
    <hyperlink ref="E71" r:id="rId532" tooltip="HB-JXL" display="https://www.flightradar24.com/data/aircraft/hb-jxl" xr:uid="{4EB8B191-A36F-724D-8DDF-9B7A119D1CBF}"/>
    <hyperlink ref="D71" r:id="rId533" tooltip="easyJet" display="https://www.flightradar24.com/data/airlines/u2-ezy" xr:uid="{36DE7019-F850-7B49-BCDF-E712F72B9222}"/>
    <hyperlink ref="C71" r:id="rId534" tooltip="Geneva International Airport, Switzerland" display="https://www.flightradar24.com/data/airports/gva" xr:uid="{649CB8FE-FB59-DB4F-AD23-FA95F55FC7A0}"/>
    <hyperlink ref="B71" r:id="rId535" tooltip="U21527" display="https://www.flightradar24.com/data/flights/u21527" xr:uid="{356A0855-82DE-9746-BECA-B952CE3105EB}"/>
    <hyperlink ref="E109" r:id="rId536" tooltip="OO-SFG" display="https://www.flightradar24.com/data/aircraft/oo-sfg" xr:uid="{DFC702EA-CF7F-C743-ABFC-22E35D87AC17}"/>
    <hyperlink ref="D109" r:id="rId537" tooltip="Brussels Airlines" display="https://www.flightradar24.com/data/airlines/sn-bel" xr:uid="{1B8424EF-99F0-C848-BADA-D0A9D2C86423}"/>
    <hyperlink ref="C109" r:id="rId538" tooltip="New York John F. Kennedy International Airport, United States" display="https://www.flightradar24.com/data/airports/jfk" xr:uid="{26FE7DAD-D7FD-D342-B35F-43F929A8D3F9}"/>
    <hyperlink ref="B109" r:id="rId539" tooltip="SN502" display="https://www.flightradar24.com/data/flights/sn502" xr:uid="{475966E1-753D-004D-826C-04D2BB49E5E0}"/>
    <hyperlink ref="E149" r:id="rId540" tooltip="A6-BLM" display="https://www.flightradar24.com/data/aircraft/a6-blm" xr:uid="{8DD5190B-BFC3-F54C-80A9-C5D2A8022023}"/>
    <hyperlink ref="D149" r:id="rId541" tooltip="Etihad Airways" display="https://www.flightradar24.com/data/airlines/ey-etd" xr:uid="{8D28DBD0-8C1F-5D43-AFBD-9F7809DFD617}"/>
    <hyperlink ref="C149" r:id="rId542" tooltip="Abu Dhabi Zayed International Airport, United Arab Emirates" display="https://www.flightradar24.com/data/airports/auh" xr:uid="{86E23C03-0B34-DD46-9547-97897D6F3B73}"/>
    <hyperlink ref="B149" r:id="rId543" tooltip="EY57" display="https://www.flightradar24.com/data/flights/ey57" xr:uid="{9ACBB7CE-8313-494E-87DE-4DA3FEBAF2F9}"/>
    <hyperlink ref="E121" r:id="rId544" tooltip="9H-QCO" display="https://www.flightradar24.com/data/aircraft/9h-qco" xr:uid="{9E4FB8A8-B3D0-A540-95F0-4B35B70A5F98}"/>
    <hyperlink ref="D121" r:id="rId545" tooltip="Ryanair" display="https://www.flightradar24.com/data/airlines/fr-ryr" xr:uid="{BE006AA9-F05C-6443-B8E6-FBA3FE434D9C}"/>
    <hyperlink ref="C121" r:id="rId546" tooltip="Berlin Brandenburg Airport, Germany" display="https://www.flightradar24.com/data/airports/ber" xr:uid="{4C8BBCDF-7CE8-204A-AF7A-9193606BB261}"/>
    <hyperlink ref="B121" r:id="rId547" tooltip="FR162" display="https://www.flightradar24.com/data/flights/fr162" xr:uid="{D7F40652-76BF-FB4F-AC6F-22140EE0934C}"/>
    <hyperlink ref="E146" r:id="rId548" tooltip="N2747U" display="https://www.flightradar24.com/data/aircraft/n2747u" xr:uid="{5CA7CFD1-AF62-F64B-B0FA-35757582A4A7}"/>
    <hyperlink ref="D146" r:id="rId549" tooltip="United Airlines" display="https://www.flightradar24.com/data/airlines/ua-ual" xr:uid="{9D93B3E8-6887-FF47-88F5-E74A71BC7FD6}"/>
    <hyperlink ref="C146" r:id="rId550" tooltip="Washington Dulles International Airport, United States" display="https://www.flightradar24.com/data/airports/iad" xr:uid="{9A230BC9-8034-7B4F-9799-95DDD8493DA0}"/>
    <hyperlink ref="B146" r:id="rId551" tooltip="UA950" display="https://www.flightradar24.com/data/flights/ua950" xr:uid="{DAB38D76-3993-6347-9EA8-506C3AB9492A}"/>
    <hyperlink ref="E135" r:id="rId552" tooltip="TC-SPA" display="https://www.flightradar24.com/data/aircraft/tc-spa" xr:uid="{1DCDB214-88F5-1243-B864-F62E3F669CCD}"/>
    <hyperlink ref="D135" r:id="rId553" tooltip="SunExpress" display="https://www.flightradar24.com/data/airlines/xq-sxs" xr:uid="{7E2695D5-4EDA-074E-8A36-2B96DB9B49CB}"/>
    <hyperlink ref="C135" r:id="rId554" tooltip="Izmir Adnan Menderes International Airport, Turkey" display="https://www.flightradar24.com/data/airports/adb" xr:uid="{8E9D628E-EB08-414D-839C-6EF3A23F953F}"/>
    <hyperlink ref="B135" r:id="rId555" tooltip="XQ932" display="https://www.flightradar24.com/data/flights/xq932" xr:uid="{1C45107B-00A9-774B-8FD8-B15BD1C633A2}"/>
    <hyperlink ref="E143" r:id="rId556" tooltip="N775CK" display="https://www.flightradar24.com/data/aircraft/n775ck" xr:uid="{5120191B-417D-DE49-8FAD-307811847C43}"/>
    <hyperlink ref="D143" r:id="rId557" tooltip="DHL" display="https://www.flightradar24.com/data/airlines/d0-dhk" xr:uid="{4DFF21EE-6E56-4F44-8E41-092DCE932D28}"/>
    <hyperlink ref="C143" r:id="rId558" tooltip="Cincinnati Northern Kentucky International Airport, United States" display="https://www.flightradar24.com/data/airports/cvg" xr:uid="{251C65E6-B198-9045-9912-05BD09196AAD}"/>
    <hyperlink ref="B143" r:id="rId559" tooltip="K4645" display="https://www.flightradar24.com/data/flights/k4645" xr:uid="{3F979D78-2F55-1C4A-91A1-DAD04B35766C}"/>
    <hyperlink ref="E142" r:id="rId560" tooltip="ET-APU" display="https://www.flightradar24.com/data/aircraft/et-apu" xr:uid="{5832E730-F0A4-FF49-BCE3-D50C62587C80}"/>
    <hyperlink ref="D142" r:id="rId561" tooltip="Ethiopian Cargo" display="https://www.flightradar24.com/data/airlines/et-eth" xr:uid="{6AED831C-50F4-4940-8989-02FBA3B987F0}"/>
    <hyperlink ref="C142" r:id="rId562" tooltip="Addis Ababa Bole Airport, Ethiopia" display="https://www.flightradar24.com/data/airports/add" xr:uid="{BE65748C-9558-1C4C-A41A-3301042E25D8}"/>
    <hyperlink ref="B142" r:id="rId563" tooltip="ET3714" display="https://www.flightradar24.com/data/flights/et3714" xr:uid="{7FC4ADA4-6233-CA41-A9A3-F5C7085C3A9A}"/>
    <hyperlink ref="E141" r:id="rId564" tooltip="A7-BFJ" display="https://www.flightradar24.com/data/aircraft/a7-bfj" xr:uid="{6E360F34-5337-2949-969C-2CB63C686CCE}"/>
    <hyperlink ref="D141" r:id="rId565" tooltip="Qatar Cargo" display="https://www.flightradar24.com/data/airlines/qr-qtr" xr:uid="{77106E73-7569-E64A-8C8D-78EF81BF8257}"/>
    <hyperlink ref="C141" r:id="rId566" tooltip="Chicago O'Hare International Airport, United States" display="https://www.flightradar24.com/data/airports/ord" xr:uid="{3F87183B-D7FC-C54F-8424-11F94DAEDABD}"/>
    <hyperlink ref="B141" r:id="rId567" tooltip="QR8114" display="https://www.flightradar24.com/data/flights/qr8114" xr:uid="{9D7EA783-0C2F-DC42-96F0-CAD90F33A56F}"/>
    <hyperlink ref="E151" r:id="rId568" tooltip="B-208S" display="https://www.flightradar24.com/data/aircraft/b-208s" xr:uid="{2F3B1980-4201-7C4C-AD81-6A72B1B555C6}"/>
    <hyperlink ref="D151" r:id="rId569" tooltip="Hainan Airlines" display="https://www.flightradar24.com/data/airlines/hu-chh" xr:uid="{7666E68A-F727-224E-8C88-8C9A6581903C}"/>
    <hyperlink ref="C151" r:id="rId570" tooltip="Beijing Capital International Airport, China" display="https://www.flightradar24.com/data/airports/pek" xr:uid="{6EEE5D6B-AA6A-4B44-B264-2CCF83495699}"/>
    <hyperlink ref="B151" r:id="rId571" tooltip="HU491" display="https://www.flightradar24.com/data/flights/hu491" xr:uid="{2CB1E355-DAAC-BE46-B594-A7634E440E91}"/>
    <hyperlink ref="E108" r:id="rId572" tooltip="OO-SFE" display="https://www.flightradar24.com/data/aircraft/oo-sfe" xr:uid="{23010812-2AE6-9C4F-871A-7C60B541A49F}"/>
    <hyperlink ref="D108" r:id="rId573" tooltip="Brussels Airlines" display="https://www.flightradar24.com/data/airlines/sn-bel" xr:uid="{969E3174-1EED-AD44-969A-A4BADBDC0AA2}"/>
    <hyperlink ref="C108" r:id="rId574" tooltip="Entebbe International Airport, Uganda" display="https://www.flightradar24.com/data/airports/ebb" xr:uid="{2C763D82-2482-0C4C-98D5-EE7C07D539EE}"/>
    <hyperlink ref="B108" r:id="rId575" tooltip="SN465" display="https://www.flightradar24.com/data/flights/sn465" xr:uid="{636594D9-A8B8-044D-B64C-EEE69C575969}"/>
    <hyperlink ref="E111" r:id="rId576" tooltip="OO-SFX" display="https://www.flightradar24.com/data/aircraft/oo-sfx" xr:uid="{539135A3-3D87-3C48-96C1-8322525D90D3}"/>
    <hyperlink ref="D111" r:id="rId577" tooltip="Brussels Airlines" display="https://www.flightradar24.com/data/airlines/sn-bel" xr:uid="{9F9E723A-4531-4A4E-8C48-134D09174A5F}"/>
    <hyperlink ref="C111" r:id="rId578" tooltip="Kinshasa N'Djili Airport, Democratic Republic Of The Congo" display="https://www.flightradar24.com/data/airports/fih" xr:uid="{3C5BB81B-042E-DE43-929D-430779C1DFE2}"/>
    <hyperlink ref="B111" r:id="rId579" tooltip="SN358" display="https://www.flightradar24.com/data/flights/sn358" xr:uid="{0C9A515C-D4C1-7B45-95A9-9B616E460C76}"/>
    <hyperlink ref="E161" r:id="rId580" tooltip="D-CAWO" display="https://www.flightradar24.com/data/aircraft/d-cawo" xr:uid="{755FFCCA-3A9C-7A41-8C92-D0722CA79E16}"/>
    <hyperlink ref="C161" r:id="rId581" tooltip="Vienna International Airport, Austria" display="https://www.flightradar24.com/data/airports/vie" xr:uid="{10D6C2B5-7250-5E49-974D-D85428C2680C}"/>
    <hyperlink ref="B161" r:id="rId582" display="https://www.flightradar24.com/data/flights/" xr:uid="{13A49A1B-4BEC-6B46-BEB7-2009858E290B}"/>
    <hyperlink ref="E106" r:id="rId583" tooltip="C-GEFA" display="https://www.flightradar24.com/data/aircraft/c-gefa" xr:uid="{099B657E-1C67-074A-9D1B-BB11BFADA3E4}"/>
    <hyperlink ref="D106" r:id="rId584" tooltip="Air Canada" display="https://www.flightradar24.com/data/airlines/ac-aca" xr:uid="{160F14B3-69B4-DB4D-87C7-D4ECF4456B3F}"/>
    <hyperlink ref="C106" r:id="rId585" tooltip="Montreal Pierre Elliott Trudeau Airport, Canada" display="https://www.flightradar24.com/data/airports/yul" xr:uid="{72AF43F6-873C-1A4F-9689-F81B44AE813D}"/>
    <hyperlink ref="B106" r:id="rId586" tooltip="AC832" display="https://www.flightradar24.com/data/flights/ac832" xr:uid="{2A97D7B2-C686-A244-BFBF-725968B45A23}"/>
    <hyperlink ref="E107" r:id="rId587" tooltip="OO-SFB" display="https://www.flightradar24.com/data/aircraft/oo-sfb" xr:uid="{3F65729A-088C-B44B-9833-D725EF84C54F}"/>
    <hyperlink ref="D107" r:id="rId588" tooltip="Brussels Airlines" display="https://www.flightradar24.com/data/airlines/sn-bel" xr:uid="{9FB0B82D-D020-3845-982E-0C80E408C8B1}"/>
    <hyperlink ref="C107" r:id="rId589" tooltip="Yaounde Airport, Cameroon" display="https://www.flightradar24.com/data/airports/nsi" xr:uid="{4B5E40CC-ABAC-B34F-B896-6C589ADBF0EB}"/>
    <hyperlink ref="B107" r:id="rId590" tooltip="SN379" display="https://www.flightradar24.com/data/flights/sn379" xr:uid="{442F058C-CB0D-9043-B83C-E13DF8885809}"/>
    <hyperlink ref="E105" r:id="rId591" tooltip="D-ALMD" display="https://www.flightradar24.com/data/aircraft/d-almd" xr:uid="{E2ED54FA-DA8E-ED43-B0D1-ED202015A334}"/>
    <hyperlink ref="D105" r:id="rId592" tooltip="DHL" display="https://www.flightradar24.com/data/airlines/d0-dhk" xr:uid="{87960BE7-DDCD-2249-BCB1-64B66D3AEE8D}"/>
    <hyperlink ref="C105" r:id="rId593" tooltip="Leipzig Halle Airport, Germany" display="https://www.flightradar24.com/data/airports/lej" xr:uid="{E741FE13-4F45-BD4E-9F39-8B805AD59B74}"/>
    <hyperlink ref="B105" r:id="rId594" tooltip="QY120" display="https://www.flightradar24.com/data/flights/qy120" xr:uid="{77B546F7-D712-C74E-8E51-A2DEBB9DA606}"/>
    <hyperlink ref="E17" r:id="rId595" tooltip="D-AEAJ" display="https://www.flightradar24.com/data/aircraft/d-aeaj" xr:uid="{2DC2778B-1551-104C-A69C-0B398B78B74A}"/>
    <hyperlink ref="D17" r:id="rId596" tooltip="DHL" display="https://www.flightradar24.com/data/airlines/d0-dhk" xr:uid="{3D0AC3AF-A648-C446-BD54-417806432E82}"/>
    <hyperlink ref="C17" r:id="rId597" tooltip="Leipzig Halle Airport, Germany" display="https://www.flightradar24.com/data/airports/lej" xr:uid="{8F568EAC-791F-4E4B-AACA-9B20AC75190F}"/>
    <hyperlink ref="B17" r:id="rId598" tooltip="QY850" display="https://www.flightradar24.com/data/flights/qy850" xr:uid="{073FB335-66C3-A94E-AEFB-5FE1BECD149A}"/>
    <hyperlink ref="E77" r:id="rId599" tooltip="OO-SNE" display="https://www.flightradar24.com/data/aircraft/oo-sne" xr:uid="{84E2B1DC-83EF-1A44-A27E-4A5BB7DA156B}"/>
    <hyperlink ref="D77" r:id="rId600" tooltip="Brussels Airlines" display="https://www.flightradar24.com/data/airlines/sn-bel" xr:uid="{B638ABA9-A379-2F45-80F0-F323D32D53F7}"/>
    <hyperlink ref="C77" r:id="rId601" tooltip="Yerevan Zvartnots International Airport, Armenia" display="https://www.flightradar24.com/data/airports/evn" xr:uid="{590541BF-55BA-414E-BDD0-0392C2BE64C1}"/>
    <hyperlink ref="B77" r:id="rId602" tooltip="SN2900" display="https://www.flightradar24.com/data/flights/sn2900" xr:uid="{AD54D739-6554-0241-A7D6-EB084CEA22FF}"/>
    <hyperlink ref="E96" r:id="rId603" tooltip="TC-FBO" display="https://www.flightradar24.com/data/aircraft/tc-fbo" xr:uid="{7186ACD1-57BA-F942-9198-9052E6BE5D14}"/>
    <hyperlink ref="D96" r:id="rId604" tooltip="Freebird Airlines" display="https://www.flightradar24.com/data/airlines/fh-fhy" xr:uid="{DDD5883A-A927-7447-A175-8D0179A8B2D7}"/>
    <hyperlink ref="C96" r:id="rId605" tooltip="Dalaman Airport, Turkey" display="https://www.flightradar24.com/data/airports/dlm" xr:uid="{D21A804A-59D6-5C4B-A302-0A3C8825F38E}"/>
    <hyperlink ref="B96" r:id="rId606" tooltip="FH8079" display="https://www.flightradar24.com/data/flights/fh8079" xr:uid="{B1F7788C-39A9-A74A-A586-0E1727AB331B}"/>
    <hyperlink ref="E129" r:id="rId607" tooltip="OO-JAX" display="https://www.flightradar24.com/data/aircraft/oo-jax" xr:uid="{0219CE8F-46BF-6D46-B2C7-0DF7EFB2FFBE}"/>
    <hyperlink ref="D129" r:id="rId608" tooltip="TUI" display="https://www.flightradar24.com/data/airlines/x3-tui" xr:uid="{3E43C118-C7C3-DF4E-AAA8-D743E144A7D1}"/>
    <hyperlink ref="C129" r:id="rId609" tooltip="Eskisehir Airport, Turkey" display="https://www.flightradar24.com/data/airports/aoe" xr:uid="{C155B316-FFAC-AD45-A7C7-86B02BE21765}"/>
    <hyperlink ref="B129" r:id="rId610" tooltip="TB314" display="https://www.flightradar24.com/data/flights/tb314" xr:uid="{D3345759-22E0-9541-96D5-408832809DBE}"/>
    <hyperlink ref="I129" r:id="rId611" tooltip="TB1411" display="https://www.flightradar24.com/data/flights/tb1411" xr:uid="{A90FF3BD-0071-FF4D-B002-0DD8EA29BD6A}"/>
    <hyperlink ref="J129" r:id="rId612" tooltip="Palma de Mallorca Airport, Spain" display="https://www.flightradar24.com/data/airports/pmi" xr:uid="{27C20C47-FBDE-8E4C-B62C-69B1C35A7B4B}"/>
    <hyperlink ref="K129" r:id="rId613" tooltip="TUI" display="https://www.flightradar24.com/data/airlines/x3-tui" xr:uid="{BDB42288-6355-2944-9AE2-969616BD6B21}"/>
    <hyperlink ref="L129" r:id="rId614" tooltip="OO-JAX" display="https://www.flightradar24.com/data/aircraft/oo-jax" xr:uid="{B0AFF55D-BB50-2E44-BC37-B711D4C2E437}"/>
    <hyperlink ref="I96" r:id="rId615" tooltip="FH8013" display="https://www.flightradar24.com/data/flights/fh8013" xr:uid="{31C60E5D-18C5-5248-8323-45828438AC05}"/>
    <hyperlink ref="J96" r:id="rId616" tooltip="Antalya Airport, Turkey" display="https://www.flightradar24.com/data/airports/ayt" xr:uid="{FFCB5C99-AAF4-2F40-B2A0-5DBF7776C768}"/>
    <hyperlink ref="K96" r:id="rId617" tooltip="Freebird Airlines" display="https://www.flightradar24.com/data/airlines/fh-fhy" xr:uid="{326938B6-FB43-0948-B960-42AB4CCBC4A2}"/>
    <hyperlink ref="L96" r:id="rId618" tooltip="TC-FBO" display="https://www.flightradar24.com/data/aircraft/tc-fbo" xr:uid="{A74BDF36-8922-6141-B5B9-A6EBFDF6FB55}"/>
    <hyperlink ref="I17" r:id="rId619" tooltip="QY851" display="https://www.flightradar24.com/data/flights/qy851" xr:uid="{D0DB0185-8A8C-F546-BB9D-58FCFF27C75B}"/>
    <hyperlink ref="J17" r:id="rId620" tooltip="Leipzig Halle Airport, Germany" display="https://www.flightradar24.com/data/airports/lej" xr:uid="{FF2428A0-7C4A-FA46-B7EF-1502D1983211}"/>
    <hyperlink ref="K17" r:id="rId621" tooltip="DHL" display="https://www.flightradar24.com/data/airlines/d0-dhk" xr:uid="{A39DFF77-88A8-5B4E-BE63-44426409FE66}"/>
    <hyperlink ref="L17" r:id="rId622" tooltip="D-AEAJ" display="https://www.flightradar24.com/data/aircraft/d-aeaj" xr:uid="{27B78E76-B279-1647-8E77-0998989189FD}"/>
    <hyperlink ref="I105" r:id="rId623" tooltip="QY81" display="https://www.flightradar24.com/data/flights/qy81" xr:uid="{F8A652BF-DE7C-8E47-9869-A15757C3B5BC}"/>
    <hyperlink ref="J105" r:id="rId624" tooltip="Lagos Murtala Mohammed Airport, Nigeria" display="https://www.flightradar24.com/data/airports/los" xr:uid="{74779145-353F-D54B-97D2-062D2B236237}"/>
    <hyperlink ref="K105" r:id="rId625" tooltip="DHL" display="https://www.flightradar24.com/data/airlines/d0-dhk" xr:uid="{F15A0245-F56D-1C4E-B46E-B2678447CAAB}"/>
    <hyperlink ref="L105" r:id="rId626" tooltip="D-ALMD" display="https://www.flightradar24.com/data/aircraft/d-almd" xr:uid="{DDEC3378-212B-9A46-8E3C-3F81816107C6}"/>
    <hyperlink ref="I77" r:id="rId627" tooltip="SN2729" display="https://www.flightradar24.com/data/flights/sn2729" xr:uid="{0D987CB4-118D-A94C-9E1A-612370E5A0BD}"/>
    <hyperlink ref="J77" r:id="rId628" tooltip="Zurich Airport, Switzerland" display="https://www.flightradar24.com/data/airports/zrh" xr:uid="{8D9EEFDF-DEE0-744C-9C72-869BB1E2AEB9}"/>
    <hyperlink ref="K77" r:id="rId629" tooltip="Brussels Airlines" display="https://www.flightradar24.com/data/airlines/sn-bel" xr:uid="{53CF882C-6195-E745-BEB7-14D785741F39}"/>
    <hyperlink ref="L77" r:id="rId630" tooltip="OO-SNE" display="https://www.flightradar24.com/data/aircraft/oo-sne" xr:uid="{E3D0A352-60EF-9C4F-B733-C209C4B13E4A}"/>
    <hyperlink ref="I121" r:id="rId631" tooltip="FR163" display="https://www.flightradar24.com/data/flights/fr163" xr:uid="{2A26FE54-A7C2-2B4D-B018-71F36FAB29D8}"/>
    <hyperlink ref="J121" r:id="rId632" tooltip="Berlin Brandenburg Airport, Germany" display="https://www.flightradar24.com/data/airports/ber" xr:uid="{53A89C3D-A9D0-AC42-A2A9-9F5F04DE16B9}"/>
    <hyperlink ref="K121" r:id="rId633" tooltip="Ryanair" display="https://www.flightradar24.com/data/airlines/fr-ryr" xr:uid="{D9E10BF5-2916-F24E-A665-5DEAB505B034}"/>
    <hyperlink ref="L121" r:id="rId634" tooltip="9H-QCO" display="https://www.flightradar24.com/data/aircraft/9h-qco" xr:uid="{4A3C29B1-3E9E-B142-994A-633241C2A7FF}"/>
    <hyperlink ref="I71" r:id="rId635" tooltip="U21528" display="https://www.flightradar24.com/data/flights/u21528" xr:uid="{9CDF1544-9129-4D42-A54D-E05F6984168E}"/>
    <hyperlink ref="J71" r:id="rId636" tooltip="Geneva International Airport, Switzerland" display="https://www.flightradar24.com/data/airports/gva" xr:uid="{0EBB825F-9988-8942-A938-3BA678869287}"/>
    <hyperlink ref="K71" r:id="rId637" tooltip="easyJet" display="https://www.flightradar24.com/data/airlines/u2-ezy" xr:uid="{3BF7529A-C7A1-C041-A2C1-B5190860B3A5}"/>
    <hyperlink ref="L71" r:id="rId638" tooltip="HB-JXL" display="https://www.flightradar24.com/data/aircraft/hb-jxl" xr:uid="{81610CAB-A71D-8446-BA2B-F8AA7F8E7893}"/>
    <hyperlink ref="I135" r:id="rId639" tooltip="XQ757" display="https://www.flightradar24.com/data/flights/xq757" xr:uid="{070EA095-FECA-574C-AA9D-DE5948C2290D}"/>
    <hyperlink ref="J135" r:id="rId640" tooltip="Eskisehir Airport, Turkey" display="https://www.flightradar24.com/data/airports/aoe" xr:uid="{A08906C3-A31B-D54B-8571-BF543F48FF1E}"/>
    <hyperlink ref="K135" r:id="rId641" tooltip="SunExpress" display="https://www.flightradar24.com/data/airlines/xq-sxs" xr:uid="{73BB0368-D91E-384C-B0A5-BD706F84B6B5}"/>
    <hyperlink ref="L135" r:id="rId642" tooltip="TC-SPA" display="https://www.flightradar24.com/data/aircraft/tc-spa" xr:uid="{14EBE150-AB42-614A-BFDD-2C80E7F5862F}"/>
    <hyperlink ref="I57" r:id="rId643" tooltip="LH1005" display="https://www.flightradar24.com/data/flights/lh1005" xr:uid="{DF75555B-447C-E441-A870-3CBD26C2F50E}"/>
    <hyperlink ref="J57" r:id="rId644" tooltip="Frankfurt Airport, Germany" display="https://www.flightradar24.com/data/airports/fra" xr:uid="{627A75AF-022A-314E-B753-63EF302A9B57}"/>
    <hyperlink ref="K57" r:id="rId645" tooltip="Lufthansa" display="https://www.flightradar24.com/data/airlines/lh-dlh" xr:uid="{7D468E51-6DE7-6E4D-ABF6-AA1970816EBC}"/>
    <hyperlink ref="L57" r:id="rId646" tooltip="D-AIZT" display="https://www.flightradar24.com/data/aircraft/d-aizt" xr:uid="{B3F5D5B0-B1CA-1946-9375-C59461426EC4}"/>
    <hyperlink ref="I157" r:id="rId647" tooltip="LX791" display="https://www.flightradar24.com/data/flights/lx791" xr:uid="{10D1EA34-B1A4-B140-8EEF-0BBA55C5569F}"/>
    <hyperlink ref="J157" r:id="rId648" tooltip="Geneva International Airport, Switzerland" display="https://www.flightradar24.com/data/airports/gva" xr:uid="{572C9A49-99C5-AA48-8771-E5ED460CA9C1}"/>
    <hyperlink ref="K157" r:id="rId649" tooltip="Swiss" display="https://www.flightradar24.com/data/airlines/lx-swr" xr:uid="{F97E8301-857F-514E-9D5E-B37E7AE69369}"/>
    <hyperlink ref="L157" r:id="rId650" tooltip="HB-JCF" display="https://www.flightradar24.com/data/aircraft/hb-jcf" xr:uid="{547A13BA-CF2A-0647-BDF6-5FC07989E92E}"/>
    <hyperlink ref="I141" r:id="rId651" tooltip="QR8114" display="https://www.flightradar24.com/data/flights/qr8114" xr:uid="{4B85B601-24AF-6F4D-81AF-DAB628A4E1D9}"/>
    <hyperlink ref="J141" r:id="rId652" tooltip="Doha Hamad International Airport, Qatar" display="https://www.flightradar24.com/data/airports/doh" xr:uid="{A9B8B6BF-0C53-8140-9D44-8F8A3D3A6C8D}"/>
    <hyperlink ref="K141" r:id="rId653" tooltip="Qatar Cargo" display="https://www.flightradar24.com/data/airlines/qr-qtr" xr:uid="{0C450A7F-CFE8-9445-B3CE-EA5719985553}"/>
    <hyperlink ref="L141" r:id="rId654" tooltip="A7-BFJ" display="https://www.flightradar24.com/data/aircraft/a7-bfj" xr:uid="{AD67F4B0-7F66-D544-8943-6D25E29DAE99}"/>
    <hyperlink ref="I29" r:id="rId655" tooltip="SN3139" display="https://www.flightradar24.com/data/flights/sn3139" xr:uid="{397D95E3-586F-A249-B17B-BAFBD48ABCAA}"/>
    <hyperlink ref="J29" r:id="rId656" tooltip="Florence Peretola Airport, Italy" display="https://www.flightradar24.com/data/airports/flr" xr:uid="{46DDF534-1D9A-7347-A935-E09FE030880A}"/>
    <hyperlink ref="K29" r:id="rId657" tooltip="Brussels Airlines" display="https://www.flightradar24.com/data/airlines/sn-bel" xr:uid="{00C7F52E-B8CA-E748-B6C6-12E449861E8A}"/>
    <hyperlink ref="L29" r:id="rId658" tooltip="OO-SSF" display="https://www.flightradar24.com/data/aircraft/oo-ssf" xr:uid="{9893CD13-7D8F-914C-835B-61339BDB10F5}"/>
    <hyperlink ref="I142" r:id="rId659" tooltip="ET3713" display="https://www.flightradar24.com/data/flights/et3713" xr:uid="{6D134AEB-EF5F-0B44-ACD6-FC2E8BC84AE1}"/>
    <hyperlink ref="J142" r:id="rId660" tooltip="Dubai World Central International Airport, United Arab Emirates" display="https://www.flightradar24.com/data/airports/dwc" xr:uid="{0CBDBA5A-9018-A143-BFA2-B769533841AA}"/>
    <hyperlink ref="K142" r:id="rId661" tooltip="Ethiopian Cargo" display="https://www.flightradar24.com/data/airlines/et-eth" xr:uid="{EE84B774-EEA8-2E4B-8F73-8C63EFFB99D8}"/>
    <hyperlink ref="L142" r:id="rId662" tooltip="ET-APU" display="https://www.flightradar24.com/data/aircraft/et-apu" xr:uid="{3024D50F-9050-B142-81F6-D56988221904}"/>
    <hyperlink ref="I113" r:id="rId663" tooltip="FR2947" display="https://www.flightradar24.com/data/flights/fr2947" xr:uid="{EA5A9789-5EBD-8E48-9A5F-DC394F33CDE0}"/>
    <hyperlink ref="J113" r:id="rId664" tooltip="Madrid Barajas Airport, Spain" display="https://www.flightradar24.com/data/airports/mad" xr:uid="{D59E3933-84F8-C740-8387-D7B7DA60CF88}"/>
    <hyperlink ref="K113" r:id="rId665" tooltip="Ryanair" display="https://www.flightradar24.com/data/airlines/fr-ryr" xr:uid="{89981C10-374D-C748-9F0D-5CD15CA9D117}"/>
    <hyperlink ref="L113" r:id="rId666" tooltip="EI-HGG" display="https://www.flightradar24.com/data/aircraft/ei-hgg" xr:uid="{A5EC0CDA-ED82-9944-A132-91D52DE4A042}"/>
    <hyperlink ref="I21" r:id="rId667" tooltip="LH2283" display="https://www.flightradar24.com/data/flights/lh2283" xr:uid="{159B025E-9292-3D47-8DEA-6B45AE467E18}"/>
    <hyperlink ref="J21" r:id="rId668" tooltip="Munich Airport, Germany" display="https://www.flightradar24.com/data/airports/muc" xr:uid="{DD1F3B55-4CC2-F044-8DF4-2209F304AA46}"/>
    <hyperlink ref="K21" r:id="rId669" tooltip="Lufthansa" display="https://www.flightradar24.com/data/airlines/lh-dlh" xr:uid="{6316EBD6-D707-024A-8BE4-3ABBB0016B19}"/>
    <hyperlink ref="L21" r:id="rId670" tooltip="D-AIBL" display="https://www.flightradar24.com/data/aircraft/d-aibl" xr:uid="{6977FD4D-FD4E-1B46-9057-0792EF4E223E}"/>
    <hyperlink ref="I143" r:id="rId671" tooltip="K4645" display="https://www.flightradar24.com/data/flights/k4645" xr:uid="{839D2FF6-DA87-9E4E-9A1D-4EFABB73BE21}"/>
    <hyperlink ref="J143" r:id="rId672" tooltip="Hong Kong International Airport, Hong Kong" display="https://www.flightradar24.com/data/airports/hkg" xr:uid="{D7E6CC3F-B4E0-034C-A52F-0179BB0FFC78}"/>
    <hyperlink ref="K143" r:id="rId673" tooltip="DHL" display="https://www.flightradar24.com/data/airlines/d0-dhk" xr:uid="{8995B545-DFB2-FF42-B3D6-D0305286A3C2}"/>
    <hyperlink ref="L143" r:id="rId674" tooltip="N775CK" display="https://www.flightradar24.com/data/aircraft/n775ck" xr:uid="{0A2F6087-3193-A14B-9EF6-57494E0A348E}"/>
    <hyperlink ref="I94" r:id="rId675" tooltip="SN3815" display="https://www.flightradar24.com/data/flights/sn3815" xr:uid="{CC626EE7-5532-2449-8FFD-E0783CCC068E}"/>
    <hyperlink ref="J94" r:id="rId676" tooltip="Lisbon Humberto Delgado Airport, Portugal" display="https://www.flightradar24.com/data/airports/lis" xr:uid="{9D9F0747-01F0-6645-8482-0356196C7A35}"/>
    <hyperlink ref="K94" r:id="rId677" tooltip="Brussels Airlines (Yes to Europe Livery)" display="https://www.flightradar24.com/data/airlines/sn-bel" xr:uid="{29E0B77A-425E-6544-B9A2-E25E30959F80}"/>
    <hyperlink ref="L94" r:id="rId678" tooltip="OO-TCV" display="https://www.flightradar24.com/data/aircraft/oo-tcv" xr:uid="{89E6B54F-2349-C04E-9D6A-A33C41E1DF07}"/>
    <hyperlink ref="I164" r:id="rId679" tooltip="OU457" display="https://www.flightradar24.com/data/flights/ou457" xr:uid="{5127C03E-3260-2849-AF09-2ECC8A51E764}"/>
    <hyperlink ref="J164" r:id="rId680" tooltip="Zagreb Franjo Tudman Airport, Croatia" display="https://www.flightradar24.com/data/airports/zag" xr:uid="{665E9675-D561-1743-B0CA-08AFC8098456}"/>
    <hyperlink ref="K164" r:id="rId681" tooltip="Croatia Airlines" display="https://www.flightradar24.com/data/airlines/ou-ctn" xr:uid="{B7E99D52-B55B-D943-8D89-177750C7F188}"/>
    <hyperlink ref="L164" r:id="rId682" tooltip="9A-CQF" display="https://www.flightradar24.com/data/aircraft/9a-cqf" xr:uid="{EB73F426-8CE9-B74F-9C3B-47BEF5E14D7D}"/>
    <hyperlink ref="I24" r:id="rId683" tooltip="AZ151" display="https://www.flightradar24.com/data/flights/az151" xr:uid="{830620FD-08E2-2749-A86C-66B196A1E460}"/>
    <hyperlink ref="J24" r:id="rId684" tooltip="Milan Linate Airport, Italy" display="https://www.flightradar24.com/data/airports/lin" xr:uid="{B17A5ED8-485F-AA4D-8026-F0F41E159CB1}"/>
    <hyperlink ref="K24" r:id="rId685" tooltip="ITA Airways" display="https://www.flightradar24.com/data/airlines/az-ity" xr:uid="{F2686579-6CF4-7D47-9797-6126C60BA129}"/>
    <hyperlink ref="L24" r:id="rId686" tooltip="EI-IMV" display="https://www.flightradar24.com/data/aircraft/ei-imv" xr:uid="{44A0CAC7-7570-4A4F-A4C7-E4FAF440BC94}"/>
    <hyperlink ref="I126" r:id="rId687" tooltip="FR658" display="https://www.flightradar24.com/data/flights/fr658" xr:uid="{2D16FDF7-BCCE-844C-8EDD-16F8D7BF64B3}"/>
    <hyperlink ref="J126" r:id="rId688" tooltip="Dublin Airport, Ireland" display="https://www.flightradar24.com/data/airports/dub" xr:uid="{B3BE612F-D48A-6940-983D-92C6D2765F8D}"/>
    <hyperlink ref="K126" r:id="rId689" tooltip="Ryanair" display="https://www.flightradar24.com/data/airlines/fr-ryr" xr:uid="{88655216-C4F1-8040-9500-F461D4F4D5DD}"/>
    <hyperlink ref="L126" r:id="rId690" tooltip="EI-EVH" display="https://www.flightradar24.com/data/aircraft/ei-evh" xr:uid="{CD3E30D8-5585-6D4B-9383-2BECB5C0D61C}"/>
    <hyperlink ref="I91" r:id="rId691" tooltip="SN2581" display="https://www.flightradar24.com/data/flights/sn2581" xr:uid="{F770078A-5F56-664B-98FB-5EC7743CDB8B}"/>
    <hyperlink ref="J91" r:id="rId692" tooltip="Berlin Brandenburg Airport, Germany" display="https://www.flightradar24.com/data/airports/ber" xr:uid="{DBDE24D9-6943-6E4D-8291-628E9E628695}"/>
    <hyperlink ref="K91" r:id="rId693" tooltip="Brussels Airlines" display="https://www.flightradar24.com/data/airlines/sn-bel" xr:uid="{00A39AD7-5E99-DF49-B33D-56E903126DF4}"/>
    <hyperlink ref="L91" r:id="rId694" tooltip="OO-TCH" display="https://www.flightradar24.com/data/aircraft/oo-tch" xr:uid="{1D91FFA6-39ED-FC4D-8C75-56EEB92B1EDF}"/>
    <hyperlink ref="I25" r:id="rId695" tooltip="SN2257" display="https://www.flightradar24.com/data/flights/sn2257" xr:uid="{0EDF34F9-0C71-944C-A747-66110504EC13}"/>
    <hyperlink ref="J25" r:id="rId696" tooltip="Copenhagen Airport, Denmark" display="https://www.flightradar24.com/data/airports/cph" xr:uid="{5AAA6911-04A0-BC4D-95F7-C2BE75F0CB75}"/>
    <hyperlink ref="K25" r:id="rId697" tooltip="Brussels Airlines" display="https://www.flightradar24.com/data/airlines/sn-bel" xr:uid="{9381EDC3-1BF7-0846-AA7E-DC5BDC5D2825}"/>
    <hyperlink ref="L25" r:id="rId698" tooltip="OO-SSA" display="https://www.flightradar24.com/data/aircraft/oo-ssa" xr:uid="{71F5E29C-1762-5947-8BC8-18B0427D25CE}"/>
    <hyperlink ref="I44" r:id="rId699" tooltip="SN2809" display="https://www.flightradar24.com/data/flights/sn2809" xr:uid="{184778B0-BD22-2A40-AFF6-88EEA6C6B503}"/>
    <hyperlink ref="J44" r:id="rId700" tooltip="Prague Vaclav Havel Airport, Czechia" display="https://www.flightradar24.com/data/airports/prg" xr:uid="{E56F5F89-0368-D24F-A4EA-CD036B7A7131}"/>
    <hyperlink ref="K44" r:id="rId701" tooltip="Brussels Airlines" display="https://www.flightradar24.com/data/airlines/sn-bel" xr:uid="{46D4F217-2319-4541-8899-A905A01B9887}"/>
    <hyperlink ref="L44" r:id="rId702" tooltip="OO-SSV" display="https://www.flightradar24.com/data/aircraft/oo-ssv" xr:uid="{2878621E-7D1F-3944-B1E4-9B0188687AA0}"/>
    <hyperlink ref="I42" r:id="rId703" tooltip="SN3201" display="https://www.flightradar24.com/data/flights/sn3201" xr:uid="{17D1E9C6-19B8-5840-A547-8B90C1F78D4C}"/>
    <hyperlink ref="J42" r:id="rId704" tooltip="Venice Marco Polo Airport, Italy" display="https://www.flightradar24.com/data/airports/vce" xr:uid="{89940E52-C7C3-6447-A79D-F021BDD1FB90}"/>
    <hyperlink ref="K42" r:id="rId705" tooltip="Brussels Airlines" display="https://www.flightradar24.com/data/airlines/sn-bel" xr:uid="{2F2B2C6A-A307-2F4F-B23B-FEB00FC88A46}"/>
    <hyperlink ref="L42" r:id="rId706" tooltip="OO-SSU" display="https://www.flightradar24.com/data/aircraft/oo-ssu" xr:uid="{AA66F89F-64E8-5A43-BE7C-5AE8FE0E0E11}"/>
    <hyperlink ref="I13" r:id="rId707" tooltip="TS155" display="https://www.flightradar24.com/data/flights/ts155" xr:uid="{4C56F55E-8491-114B-B568-9592D34A831A}"/>
    <hyperlink ref="J13" r:id="rId708" tooltip="Montreal Pierre Elliott Trudeau Airport, Canada" display="https://www.flightradar24.com/data/airports/yul" xr:uid="{BAF4BEA1-2FD3-8241-A89F-93B06E56BDD8}"/>
    <hyperlink ref="K13" r:id="rId709" tooltip="Air Transat" display="https://www.flightradar24.com/data/airlines/ts-tsc" xr:uid="{F6DF6FFA-6BDE-9B4D-9D7A-4BC61A8ED0D0}"/>
    <hyperlink ref="L13" r:id="rId710" tooltip="C-GOIK" display="https://www.flightradar24.com/data/aircraft/c-goik" xr:uid="{7F831BE2-52B0-6945-B083-54238E77FE09}"/>
    <hyperlink ref="I152" r:id="rId711" tooltip="AC827" display="https://www.flightradar24.com/data/flights/ac827" xr:uid="{CA036DA9-EEED-B648-89B6-F546369F5969}"/>
    <hyperlink ref="J152" r:id="rId712" tooltip="Toronto Pearson International Airport, Canada" display="https://www.flightradar24.com/data/airports/yyz" xr:uid="{AB82CC45-FAA3-B949-88D1-6E7ABF50927B}"/>
    <hyperlink ref="K152" r:id="rId713" tooltip="Air Canada" display="https://www.flightradar24.com/data/airlines/ac-aca" xr:uid="{E3E2078C-CF6B-1A4C-ABE4-CF9C17142512}"/>
    <hyperlink ref="L152" r:id="rId714" tooltip="C-FRTW" display="https://www.flightradar24.com/data/aircraft/c-frtw" xr:uid="{F0B71D97-5CA8-2041-8B8F-D60CF54515B5}"/>
    <hyperlink ref="I36" r:id="rId715" tooltip="SN2547" display="https://www.flightradar24.com/data/flights/sn2547" xr:uid="{348CECA2-0AB2-3349-9784-6C6A186F8C0E}"/>
    <hyperlink ref="J36" r:id="rId716" tooltip="Krakow John Paul II International Airport, Poland" display="https://www.flightradar24.com/data/airports/krk" xr:uid="{3E1D053E-9398-3344-BB71-15A30D098DD1}"/>
    <hyperlink ref="K36" r:id="rId717" tooltip="Brussels Airlines" display="https://www.flightradar24.com/data/airlines/sn-bel" xr:uid="{D8E5D64C-8797-FC44-8EE0-669DC1A42947}"/>
    <hyperlink ref="L36" r:id="rId718" tooltip="OO-SSO" display="https://www.flightradar24.com/data/aircraft/oo-sso" xr:uid="{D838603E-1D15-9146-8FBD-5E0EE4F9C403}"/>
    <hyperlink ref="I85" r:id="rId719" tooltip="SN3169" display="https://www.flightradar24.com/data/flights/sn3169" xr:uid="{CDC25C1D-C3E7-D94F-B9DD-5922692BB9A1}"/>
    <hyperlink ref="J85" r:id="rId720" tooltip="Naples Airport, Italy" display="https://www.flightradar24.com/data/airports/nap" xr:uid="{BDD8B2EF-3C58-1E41-AF05-906CAED828D6}"/>
    <hyperlink ref="K85" r:id="rId721" tooltip="Brussels Airlines" display="https://www.flightradar24.com/data/airlines/sn-bel" xr:uid="{1AE29828-9E25-5443-AB00-7BD6B1E45135}"/>
    <hyperlink ref="L85" r:id="rId722" tooltip="OO-SNM" display="https://www.flightradar24.com/data/aircraft/oo-snm" xr:uid="{69822E45-46EF-AD4C-B1C6-729BF1D5CFDF}"/>
    <hyperlink ref="J40" r:id="rId723" tooltip="Lyon Saint Exupery Airport, France" display="https://www.flightradar24.com/data/airports/lys" xr:uid="{2E3F8AA7-BC41-834A-A912-E52105051C1C}"/>
    <hyperlink ref="K40" r:id="rId724" tooltip="Brussels Airlines" display="https://www.flightradar24.com/data/airlines/sn-bel" xr:uid="{1B1315C1-A4E3-1B47-BA09-3E5D626C8343}"/>
    <hyperlink ref="L40" r:id="rId725" tooltip="OO-SSS" display="https://www.flightradar24.com/data/aircraft/oo-sss" xr:uid="{D9207EE7-8D7E-BC43-AC56-9342A15B0F0E}"/>
    <hyperlink ref="J158" r:id="rId726" tooltip="Riga International Airport, Latvia" display="https://www.flightradar24.com/data/airports/rix" xr:uid="{3101CBD3-3F3F-6849-BC45-D617016A8BE3}"/>
    <hyperlink ref="K158" r:id="rId727" tooltip="Air Baltic" display="https://www.flightradar24.com/data/airlines/bt-bti" xr:uid="{180AA222-F0DC-114B-BBB9-353D33EF954E}"/>
    <hyperlink ref="L158" r:id="rId728" tooltip="YL-ABC" display="https://www.flightradar24.com/data/aircraft/yl-abc" xr:uid="{646DB2AC-CC27-CC40-9821-35202ACC2AA2}"/>
    <hyperlink ref="J159" r:id="rId729" tooltip="Tallinn Lennart Meri Airport , Estonia" display="https://www.flightradar24.com/data/airports/tll" xr:uid="{5ADC1FE5-B757-A546-81AC-8675F9473934}"/>
    <hyperlink ref="K159" r:id="rId730" tooltip="Air Baltic" display="https://www.flightradar24.com/data/airlines/bt-bti" xr:uid="{E24447DF-1896-BF47-8158-4D54E0FE3A5D}"/>
    <hyperlink ref="L159" r:id="rId731" tooltip="YL-ABM" display="https://www.flightradar24.com/data/aircraft/yl-abm" xr:uid="{709C3CC3-4C1B-E644-A35D-FEE7CA9CF75A}"/>
    <hyperlink ref="J32" r:id="rId732" tooltip="Toulouse Blagnac Airport, France" display="https://www.flightradar24.com/data/airports/tls" xr:uid="{62DA07D3-65C0-E245-A5A2-623153C1FFA2}"/>
    <hyperlink ref="K32" r:id="rId733" tooltip="Brussels Airlines" display="https://www.flightradar24.com/data/airlines/sn-bel" xr:uid="{B4EF57C0-BEFA-5343-909B-FE7ED90E4380}"/>
    <hyperlink ref="L32" r:id="rId734" tooltip="OO-SSL" display="https://www.flightradar24.com/data/aircraft/oo-ssl" xr:uid="{71E4BCB2-9DEA-E149-B983-C0900268B9D8}"/>
    <hyperlink ref="J63" r:id="rId735" tooltip="Barcelona El Prat Airport, Spain" display="https://www.flightradar24.com/data/airports/bcn" xr:uid="{F5E06222-D9A1-7B46-9A6A-5BB6CFA67644}"/>
    <hyperlink ref="K63" r:id="rId736" tooltip="Vueling" display="https://www.flightradar24.com/data/airlines/vy-vlg" xr:uid="{5FF2D998-F756-674A-9A9C-CA67D1CB83F8}"/>
    <hyperlink ref="L63" r:id="rId737" tooltip="EC-MKN" display="https://www.flightradar24.com/data/aircraft/ec-mkn" xr:uid="{BE84C30F-1E9D-D443-9682-E263FBB4C8C2}"/>
    <hyperlink ref="J52" r:id="rId738" tooltip="Belgrade Nikola Tesla Airport, Serbia" display="https://www.flightradar24.com/data/airports/beg" xr:uid="{2C62A86B-C7F3-274F-B03A-78190F52B924}"/>
    <hyperlink ref="K52" r:id="rId739" tooltip="AirSERBIA" display="https://www.flightradar24.com/data/airlines/ju-asl" xr:uid="{CB0FCD21-B26F-1A48-8FE9-F94A3717FB4D}"/>
    <hyperlink ref="L52" r:id="rId740" tooltip="YU-APM" display="https://www.flightradar24.com/data/aircraft/yu-apm" xr:uid="{DB6CC0DF-B528-B548-92D8-264606C5E27A}"/>
    <hyperlink ref="J75" r:id="rId741" tooltip="Nice Cote d'Azur Airport, France" display="https://www.flightradar24.com/data/airports/nce" xr:uid="{5D178BEB-66FD-B044-BB18-A8AD3948F23E}"/>
    <hyperlink ref="K75" r:id="rId742" tooltip="Brussels Airlines (Tintin comics Livery)" display="https://www.flightradar24.com/data/airlines/sn-bel" xr:uid="{EA6990F9-4988-404B-BE08-4045D0E5615C}"/>
    <hyperlink ref="L75" r:id="rId743" tooltip="OO-SNB" display="https://www.flightradar24.com/data/aircraft/oo-snb" xr:uid="{D66186FC-D4C0-BA4A-A980-659AC4FC1257}"/>
    <hyperlink ref="J70" r:id="rId744" tooltip="Zurich Airport, Switzerland" display="https://www.flightradar24.com/data/airports/zrh" xr:uid="{272811CA-5993-B04E-9DA1-90ED81EE6126}"/>
    <hyperlink ref="K70" r:id="rId745" tooltip="Swiss" display="https://www.flightradar24.com/data/airlines/lx-swr" xr:uid="{EA91F90E-6686-4B4A-97CA-B57F7C9857DF}"/>
    <hyperlink ref="L70" r:id="rId746" tooltip="HB-IJI" display="https://www.flightradar24.com/data/aircraft/hb-iji" xr:uid="{645DD336-BFB5-E248-BBE2-8FB1404B9B65}"/>
    <hyperlink ref="J74" r:id="rId747" tooltip="Vienna International Airport, Austria" display="https://www.flightradar24.com/data/airports/vie" xr:uid="{83023D76-5487-984B-8548-08B53B7DEF7B}"/>
    <hyperlink ref="K74" r:id="rId748" tooltip="Austrian Airlines" display="https://www.flightradar24.com/data/airlines/os-aua" xr:uid="{89DAFD9B-0801-AA4C-B90F-AA2E12B7F504}"/>
    <hyperlink ref="L74" r:id="rId749" tooltip="OE-LXB" display="https://www.flightradar24.com/data/aircraft/oe-lxb" xr:uid="{D4B5ABC1-FB8F-F74D-B882-176C23B3581B}"/>
    <hyperlink ref="J8" r:id="rId750" tooltip="London Heathrow Airport, United Kingdom" display="https://www.flightradar24.com/data/airports/lhr" xr:uid="{873A5220-CAED-7742-8DFA-084F29F1121F}"/>
    <hyperlink ref="K8" r:id="rId751" tooltip="Brussels Airlines" display="https://www.flightradar24.com/data/airlines/sn-bel" xr:uid="{739518D1-2057-5944-AD39-B96FE37935ED}"/>
    <hyperlink ref="L8" r:id="rId752" tooltip="OO-SBC" display="https://www.flightradar24.com/data/aircraft/oo-sbc" xr:uid="{28D72F51-9991-6747-8C6F-8E4F3B4240A8}"/>
    <hyperlink ref="J46" r:id="rId753" tooltip="Stockholm Arlanda Airport, Sweden" display="https://www.flightradar24.com/data/airports/arn" xr:uid="{F5FC7EF7-472D-6943-86B3-A635905A7B68}"/>
    <hyperlink ref="K46" r:id="rId754" tooltip="Brussels Airlines" display="https://www.flightradar24.com/data/airlines/sn-bel" xr:uid="{54184220-B320-1D41-87FD-5AABB1645734}"/>
    <hyperlink ref="L46" r:id="rId755" tooltip="OO-SSW" display="https://www.flightradar24.com/data/aircraft/oo-ssw" xr:uid="{33819CA4-EB35-844F-8CEA-582114CF3006}"/>
    <hyperlink ref="J48" r:id="rId756" tooltip="Milan Linate Airport, Italy" display="https://www.flightradar24.com/data/airports/lin" xr:uid="{294B0B96-D944-404F-BA06-6F79B0196A44}"/>
    <hyperlink ref="K48" r:id="rId757" tooltip="Brussels Airlines" display="https://www.flightradar24.com/data/airlines/sn-bel" xr:uid="{EABF3F95-C4B5-DC4F-9768-CC19859A5078}"/>
    <hyperlink ref="L48" r:id="rId758" tooltip="OO-SSX" display="https://www.flightradar24.com/data/aircraft/oo-ssx" xr:uid="{DE8B7F56-07E0-2D41-903F-C46E229F7A82}"/>
    <hyperlink ref="I127" r:id="rId759" tooltip="FR2928" display="https://www.flightradar24.com/data/flights/fr2928" xr:uid="{75473075-730A-4141-A57C-751D0391F4DA}"/>
    <hyperlink ref="J127" r:id="rId760" tooltip="Porto Francisco de Sa Carneiro Airport, Portugal" display="https://www.flightradar24.com/data/airports/opo" xr:uid="{B0280DAA-27A0-4D49-9917-AC0012166506}"/>
    <hyperlink ref="K127" r:id="rId761" tooltip="Ryanair" display="https://www.flightradar24.com/data/airlines/fr-ryr" xr:uid="{0125DA4A-3C8C-6140-8B8A-6C489A69AAEB}"/>
    <hyperlink ref="L127" r:id="rId762" tooltip="EI-EVS" display="https://www.flightradar24.com/data/aircraft/ei-evs" xr:uid="{D14CEFA5-97AE-0643-AB90-0070DF01A193}"/>
    <hyperlink ref="J60" r:id="rId763" tooltip="Valencia Airport, Spain" display="https://www.flightradar24.com/data/airports/vlc" xr:uid="{FB0500F0-A3C6-C842-9EE0-1DD46D7BB461}"/>
    <hyperlink ref="K60" r:id="rId764" tooltip="Vueling" display="https://www.flightradar24.com/data/airlines/vy-vlg" xr:uid="{43BCCE62-3BF1-A34A-A612-C674482115A3}"/>
    <hyperlink ref="L60" r:id="rId765" tooltip="EC-LOC" display="https://www.flightradar24.com/data/aircraft/ec-loc" xr:uid="{D0E24C9F-A147-8746-8B8A-4B30FD7EBB70}"/>
    <hyperlink ref="I106" r:id="rId766" tooltip="AC833" display="https://www.flightradar24.com/data/flights/ac833" xr:uid="{ECD97866-0C1D-4247-A71B-67258DD3707F}"/>
    <hyperlink ref="J106" r:id="rId767" tooltip="Montreal Pierre Elliott Trudeau Airport, Canada" display="https://www.flightradar24.com/data/airports/yul" xr:uid="{6605E9AE-33E3-1941-9955-DEEFC070C9EE}"/>
    <hyperlink ref="K106" r:id="rId768" tooltip="Air Canada" display="https://www.flightradar24.com/data/airlines/ac-aca" xr:uid="{5980DC1E-9406-3245-9CF0-528931657051}"/>
    <hyperlink ref="L106" r:id="rId769" tooltip="C-GEFA" display="https://www.flightradar24.com/data/aircraft/c-gefa" xr:uid="{5EA6808A-5738-3C47-BB5C-7BF0052E6951}"/>
    <hyperlink ref="I62" r:id="rId770" tooltip="VY1335" display="https://www.flightradar24.com/data/flights/vy1335" xr:uid="{BD8CB714-B219-3E4A-8FA4-F49CC314BCAA}"/>
    <hyperlink ref="J62" r:id="rId771" tooltip="Alicante Airport, Spain" display="https://www.flightradar24.com/data/airports/alc" xr:uid="{5D3D1773-23D1-6B4D-8FE4-FDFD9546CC9A}"/>
    <hyperlink ref="K62" r:id="rId772" tooltip="Vueling" display="https://www.flightradar24.com/data/airlines/vy-vlg" xr:uid="{87F8027B-664C-8741-9D6F-342A55256829}"/>
    <hyperlink ref="L62" r:id="rId773" tooltip="EC-MKM" display="https://www.flightradar24.com/data/aircraft/ec-mkm" xr:uid="{77386C9E-A4F8-7E42-AD29-0B22682F5807}"/>
    <hyperlink ref="I101" r:id="rId774" tooltip="DN404" display="https://www.flightradar24.com/data/flights/dn404" xr:uid="{1B08D621-4C29-6D4B-9AB1-00863D8965A2}"/>
    <hyperlink ref="J101" r:id="rId775" tooltip="Bacau International Airport, Romania" display="https://www.flightradar24.com/data/airports/bcm" xr:uid="{C96F4429-E3B6-3846-9A71-D89FD4189795}"/>
    <hyperlink ref="K101" r:id="rId776" tooltip="Dan Air" display="https://www.flightradar24.com/data/airlines/dn-joc" xr:uid="{37DF207D-3CE8-964A-9573-1CD80572B854}"/>
    <hyperlink ref="L101" r:id="rId777" tooltip="YR-DSE" display="https://www.flightradar24.com/data/aircraft/yr-dse" xr:uid="{9103701E-1152-6C43-903C-0A67700ACA18}"/>
    <hyperlink ref="I168" r:id="rId778" tooltip="LO236" display="https://www.flightradar24.com/data/flights/lo236" xr:uid="{BF63F858-A28A-3544-812E-71038A6F4C56}"/>
    <hyperlink ref="J168" r:id="rId779" tooltip="Warsaw Chopin Airport, Poland" display="https://www.flightradar24.com/data/airports/waw" xr:uid="{F488E73D-7D29-454C-9E25-1B6B87E57C51}"/>
    <hyperlink ref="K168" r:id="rId780" tooltip="LOT (Podkarpackie Livery)" display="https://www.flightradar24.com/data/airlines/lo-lot" xr:uid="{7386D15C-3848-7F48-9392-D413F4E623B2}"/>
    <hyperlink ref="L168" r:id="rId781" tooltip="SP-LNA" display="https://www.flightradar24.com/data/aircraft/sp-lna" xr:uid="{9D6F5EFE-C4EA-5248-9930-163C2E2CB490}"/>
    <hyperlink ref="I153" r:id="rId782" tooltip="UA973" display="https://www.flightradar24.com/data/flights/ua973" xr:uid="{93BF67BB-C1A2-8344-860B-2B41A9BC23EE}"/>
    <hyperlink ref="J153" r:id="rId783" tooltip="Chicago O'Hare International Airport, United States" display="https://www.flightradar24.com/data/airports/ord" xr:uid="{96D7B0AE-8ADF-7346-B0C9-5EFA816584F1}"/>
    <hyperlink ref="K153" r:id="rId784" tooltip="United Airlines" display="https://www.flightradar24.com/data/airlines/ua-ual" xr:uid="{FCBF81CD-2130-E747-AD3D-DB75221BBA19}"/>
    <hyperlink ref="L153" r:id="rId785" tooltip="N17017" display="https://www.flightradar24.com/data/aircraft/n17017" xr:uid="{2AD02FB6-5938-FA4E-80D0-2A08162B4FF6}"/>
    <hyperlink ref="I161" r:id="rId786" display="https://www.flightradar24.com/data/flights/" xr:uid="{8591C9DF-CC4E-0F42-8D41-A0EF458366E7}"/>
    <hyperlink ref="J161" r:id="rId787" tooltip="Vienna International Airport, Austria" display="https://www.flightradar24.com/data/airports/vie" xr:uid="{2B74813A-DDF2-C742-9766-6223E155050B}"/>
    <hyperlink ref="L161" r:id="rId788" tooltip="D-CAWO" display="https://www.flightradar24.com/data/aircraft/d-cawo" xr:uid="{66681B78-37CB-6042-8012-CC2457ED3857}"/>
    <hyperlink ref="I65" r:id="rId789" tooltip="EI631" display="https://www.flightradar24.com/data/flights/ei631" xr:uid="{2F0C2C5A-656C-F943-AE75-6D8DE3D18137}"/>
    <hyperlink ref="J65" r:id="rId790" tooltip="Dublin Airport, Ireland" display="https://www.flightradar24.com/data/airports/dub" xr:uid="{E240394A-DCCC-FC4A-A830-0DEE6B12DCD2}"/>
    <hyperlink ref="K65" r:id="rId791" tooltip="Aer Lingus" display="https://www.flightradar24.com/data/airlines/ei-ein" xr:uid="{05CE9EBA-9EBC-DA44-BCE7-F53D8DE0FE2F}"/>
    <hyperlink ref="L65" r:id="rId792" tooltip="EI-DES" display="https://www.flightradar24.com/data/aircraft/ei-des" xr:uid="{242CFA41-27B6-B540-A80D-237711052439}"/>
    <hyperlink ref="I166" r:id="rId793" tooltip="KL1704" display="https://www.flightradar24.com/data/flights/kl1704" xr:uid="{6F0C7D6F-115A-6C40-88BD-B5F374F716B0}"/>
    <hyperlink ref="J166" r:id="rId794" tooltip="Amsterdam Schiphol Airport, Netherlands" display="https://www.flightradar24.com/data/airports/ams" xr:uid="{C4C8DA5C-8A1C-D64C-876B-90C29D3CDF12}"/>
    <hyperlink ref="K166" r:id="rId795" tooltip="KLM" display="https://www.flightradar24.com/data/airlines/kl-klm" xr:uid="{B7F7B718-CB6A-484C-A91C-E9D68D45286A}"/>
    <hyperlink ref="L166" r:id="rId796" tooltip="PH-EZC" display="https://www.flightradar24.com/data/aircraft/ph-ezc" xr:uid="{CB6139D9-056A-BF49-A922-2F33AEF8C330}"/>
    <hyperlink ref="I111" r:id="rId797" tooltip="SN467" display="https://www.flightradar24.com/data/flights/sn467" xr:uid="{B783F2C6-076A-7E42-B2AF-B090E246C1B6}"/>
    <hyperlink ref="J111" r:id="rId798" tooltip="Kigali Airport, Rwanda" display="https://www.flightradar24.com/data/airports/kgl" xr:uid="{B3713D0C-79A1-5C48-98ED-75E2C3BF75E1}"/>
    <hyperlink ref="K111" r:id="rId799" tooltip="Brussels Airlines" display="https://www.flightradar24.com/data/airlines/sn-bel" xr:uid="{C95C6FF2-3690-1D4E-81E6-575A9C088AE8}"/>
    <hyperlink ref="L111" r:id="rId800" tooltip="OO-SFX" display="https://www.flightradar24.com/data/aircraft/oo-sfx" xr:uid="{DA48D064-02F1-8440-9376-10E3B62DEB14}"/>
    <hyperlink ref="I88" r:id="rId801" tooltip="SN3811" display="https://www.flightradar24.com/data/flights/sn3811" xr:uid="{E1B4E2D8-DD42-704C-A8FE-2EF9B77EBD61}"/>
    <hyperlink ref="J88" r:id="rId802" tooltip="Porto Francisco de Sa Carneiro Airport, Portugal" display="https://www.flightradar24.com/data/airports/opo" xr:uid="{615D6900-383F-EC42-889E-C5DEF1724C28}"/>
    <hyperlink ref="K88" r:id="rId803" tooltip="Brussels Airlines (Star Alliance Livery)" display="https://www.flightradar24.com/data/airlines/sn-bel" xr:uid="{1D13683E-27CE-1B45-8DAA-0877507E6A14}"/>
    <hyperlink ref="L88" r:id="rId804" tooltip="OO-SNP" display="https://www.flightradar24.com/data/aircraft/oo-snp" xr:uid="{E8BBEFEF-3CB9-B64D-A354-6482A7DFD919}"/>
    <hyperlink ref="I167" r:id="rId805" tooltip="SK594" display="https://www.flightradar24.com/data/flights/sk594" xr:uid="{37721713-4478-8642-B1CD-E44936EF1EA9}"/>
    <hyperlink ref="J167" r:id="rId806" tooltip="Copenhagen Airport, Denmark" display="https://www.flightradar24.com/data/airports/cph" xr:uid="{192C0BE7-CC11-3643-96D9-F794F6EC1FB5}"/>
    <hyperlink ref="K167" r:id="rId807" tooltip="SAS" display="https://www.flightradar24.com/data/airlines/sk-sas" xr:uid="{82F9864D-A3B4-8F4A-997A-A3622E252E1D}"/>
    <hyperlink ref="L167" r:id="rId808" tooltip="SE-RSL" display="https://www.flightradar24.com/data/aircraft/se-rsl" xr:uid="{D979D3FD-7405-284A-8705-0C04DA3B4E3B}"/>
    <hyperlink ref="I107" r:id="rId809" tooltip="SN501" display="https://www.flightradar24.com/data/flights/sn501" xr:uid="{97CC9624-DF9F-1B49-8FAE-F8F9AE2F4C3D}"/>
    <hyperlink ref="J107" r:id="rId810" tooltip="New York John F. Kennedy International Airport, United States" display="https://www.flightradar24.com/data/airports/jfk" xr:uid="{2A6F4A80-7AAC-F846-A33B-C1A494FB11ED}"/>
    <hyperlink ref="K107" r:id="rId811" tooltip="Brussels Airlines" display="https://www.flightradar24.com/data/airlines/sn-bel" xr:uid="{644B73E1-A424-DB48-8ACA-186D56529E72}"/>
    <hyperlink ref="L107" r:id="rId812" tooltip="OO-SFB" display="https://www.flightradar24.com/data/aircraft/oo-sfb" xr:uid="{0876D80C-FD7F-8340-9F0F-7CEDE2322A9B}"/>
    <hyperlink ref="I140" r:id="rId813" tooltip="DL141" display="https://www.flightradar24.com/data/flights/dl141" xr:uid="{23E7560B-2180-494D-8AED-5A581D9EAE55}"/>
    <hyperlink ref="J140" r:id="rId814" tooltip="New York John F. Kennedy International Airport, United States" display="https://www.flightradar24.com/data/airports/jfk" xr:uid="{B7E69CD8-FB5F-3441-B3EB-61AD82A52BFA}"/>
    <hyperlink ref="K140" r:id="rId815" tooltip="Delta Air Lines" display="https://www.flightradar24.com/data/airlines/dl-dal" xr:uid="{5B64423D-5F19-8940-855E-5585EA246D86}"/>
    <hyperlink ref="L140" r:id="rId816" tooltip="N1201P" display="https://www.flightradar24.com/data/aircraft/n1201p" xr:uid="{52F74CFF-394A-FA4B-BA50-281CBCD7FA75}"/>
    <hyperlink ref="I61" r:id="rId817" tooltip="VY2151" display="https://www.flightradar24.com/data/flights/vy2151" xr:uid="{EE71CFA4-DFDB-3946-AB0D-18D2DFA80650}"/>
    <hyperlink ref="J61" r:id="rId818" tooltip="Malaga Costa Del Sol Airport, Spain" display="https://www.flightradar24.com/data/airports/agp" xr:uid="{6A049766-2556-F44A-BCDD-25FB8D0B0BE1}"/>
    <hyperlink ref="K61" r:id="rId819" tooltip="Vueling" display="https://www.flightradar24.com/data/airlines/vy-vlg" xr:uid="{C51BF230-8B77-6545-85D8-33A988634405}"/>
    <hyperlink ref="L61" r:id="rId820" tooltip="EC-MBS" display="https://www.flightradar24.com/data/aircraft/ec-mbs" xr:uid="{DA267DCA-BE56-FC49-957B-691C0D63A1D5}"/>
    <hyperlink ref="I123" r:id="rId821" tooltip="UX1172" display="https://www.flightradar24.com/data/flights/ux1172" xr:uid="{B59688B3-2E7E-2E42-9186-8BBC106B344A}"/>
    <hyperlink ref="J123" r:id="rId822" tooltip="Madrid Barajas Airport, Spain" display="https://www.flightradar24.com/data/airports/mad" xr:uid="{C27B5237-BABA-6C4F-B5E4-1A0D27F14D51}"/>
    <hyperlink ref="K123" r:id="rId823" tooltip="Air Europa" display="https://www.flightradar24.com/data/airlines/ux-aea" xr:uid="{3A41B682-92F0-E140-9C12-1251A026056B}"/>
    <hyperlink ref="L123" r:id="rId824" tooltip="EC-NZR" display="https://www.flightradar24.com/data/aircraft/ec-nzr" xr:uid="{6508C2A7-9529-C849-A888-C990C3908B86}"/>
    <hyperlink ref="I38" r:id="rId825" tooltip="SN2063" display="https://www.flightradar24.com/data/flights/sn2063" xr:uid="{7A4997E0-039A-AC46-8504-02D22DDCC9EF}"/>
    <hyperlink ref="J38" r:id="rId826" tooltip="Edinburgh Airport, United Kingdom" display="https://www.flightradar24.com/data/airports/edi" xr:uid="{378422EC-4784-5142-B152-333467EB7D50}"/>
    <hyperlink ref="K38" r:id="rId827" tooltip="Brussels Airlines" display="https://www.flightradar24.com/data/airlines/sn-bel" xr:uid="{E4F22FBA-8BA6-D74A-8834-89416D50DCFE}"/>
    <hyperlink ref="L38" r:id="rId828" tooltip="OO-SSQ" display="https://www.flightradar24.com/data/aircraft/oo-ssq" xr:uid="{10EE38D5-58F3-2843-A75F-C071953BED53}"/>
    <hyperlink ref="I90" r:id="rId829" tooltip="SN3245" display="https://www.flightradar24.com/data/flights/sn3245" xr:uid="{8D16DB1C-4636-2240-A911-BE8CB4DC3530}"/>
    <hyperlink ref="J90" r:id="rId830" tooltip="Athens Eleftherios Venizelos, Greece" display="https://www.flightradar24.com/data/airports/ath" xr:uid="{B600B870-4A6A-8D4E-AE2C-C24DACC75EA3}"/>
    <hyperlink ref="K90" r:id="rId831" tooltip="Brussels Airlines (Star Alliance Livery)" display="https://www.flightradar24.com/data/airlines/sn-bel" xr:uid="{F5F8960B-3B40-7340-A40D-518F5884E5ED}"/>
    <hyperlink ref="L90" r:id="rId832" tooltip="OO-SNQ" display="https://www.flightradar24.com/data/aircraft/oo-snq" xr:uid="{CAE8E733-6CBF-BE44-A468-B1D73E12DB86}"/>
    <hyperlink ref="I149" r:id="rId833" tooltip="EY58" display="https://www.flightradar24.com/data/flights/ey58" xr:uid="{1C3418EE-2518-2142-8CA9-0C0A6A5499DE}"/>
    <hyperlink ref="J149" r:id="rId834" tooltip="Abu Dhabi Zayed International Airport, United Arab Emirates" display="https://www.flightradar24.com/data/airports/auh" xr:uid="{4D4E87D5-4FDF-6F48-B5F5-5D90AE962881}"/>
    <hyperlink ref="K149" r:id="rId835" tooltip="Etihad Airways" display="https://www.flightradar24.com/data/airlines/ey-etd" xr:uid="{4476373B-DDCE-EE4C-BF0A-BF203B5F11A1}"/>
    <hyperlink ref="L149" r:id="rId836" tooltip="A6-BLM" display="https://www.flightradar24.com/data/aircraft/a6-blm" xr:uid="{B0CE8E96-58FA-BA42-9EBF-25798CC03A52}"/>
    <hyperlink ref="I10" r:id="rId837" tooltip="SK4744" display="https://www.flightradar24.com/data/flights/sk4744" xr:uid="{F0D359BC-0B9A-5642-8A91-4F5989A15CF7}"/>
    <hyperlink ref="J10" r:id="rId838" tooltip="Oslo Gardermoen Airport, Norway" display="https://www.flightradar24.com/data/airports/osl" xr:uid="{1CFAFDF9-0A7E-F742-A21F-AE6521544802}"/>
    <hyperlink ref="K10" r:id="rId839" tooltip="SAS" display="https://www.flightradar24.com/data/airlines/sk-sas" xr:uid="{49FCCE29-2FAB-3B44-923A-4A0B65CABC37}"/>
    <hyperlink ref="L10" r:id="rId840" tooltip="SE-ROL" display="https://www.flightradar24.com/data/aircraft/se-rol" xr:uid="{CB043CD6-56E9-B846-AC22-08FF25725D15}"/>
    <hyperlink ref="I34" r:id="rId841" tooltip="SN3597" display="https://www.flightradar24.com/data/flights/sn3597" xr:uid="{820D5155-1A3E-404A-B101-3F174E8D3CE3}"/>
    <hyperlink ref="J34" r:id="rId842" tooltip="Marseille Provence Airport, France" display="https://www.flightradar24.com/data/airports/mrs" xr:uid="{D40E8182-CFA8-3643-97EC-40E6EC0481E7}"/>
    <hyperlink ref="K34" r:id="rId843" tooltip="Brussels Airlines" display="https://www.flightradar24.com/data/airlines/sn-bel" xr:uid="{C09265AA-B67E-BC4F-B58B-267DF76CA229}"/>
    <hyperlink ref="L34" r:id="rId844" tooltip="OO-SSN" display="https://www.flightradar24.com/data/aircraft/oo-ssn" xr:uid="{424DAF1A-153D-6F47-B3BC-66DF700730FE}"/>
    <hyperlink ref="I50" r:id="rId845" tooltip="SN3711" display="https://www.flightradar24.com/data/flights/sn3711" xr:uid="{E4DB23D6-0178-554E-AF94-7C6D75472708}"/>
    <hyperlink ref="J50" r:id="rId846" tooltip="Bilbao Airport, Spain" display="https://www.flightradar24.com/data/airports/bio" xr:uid="{CDD5FFAA-D61D-524B-972C-572D43EFA958}"/>
    <hyperlink ref="K50" r:id="rId847" tooltip="Brussels Airlines (Star Alliance Livery)" display="https://www.flightradar24.com/data/airlines/sn-bel" xr:uid="{917AB52A-5E9C-E749-AAB3-1B43F84328A5}"/>
    <hyperlink ref="L50" r:id="rId848" tooltip="OO-SSY" display="https://www.flightradar24.com/data/aircraft/oo-ssy" xr:uid="{26681E45-37A5-1543-B345-2E4A325E64E6}"/>
    <hyperlink ref="I27" r:id="rId849" tooltip="SN2623" display="https://www.flightradar24.com/data/flights/sn2623" xr:uid="{4826EF5D-453A-4843-B2C0-02DBC5F1C003}"/>
    <hyperlink ref="J27" r:id="rId850" tooltip="Hamburg Airport, Germany" display="https://www.flightradar24.com/data/airports/ham" xr:uid="{1EC139F2-284F-304D-9EE8-B60938936E16}"/>
    <hyperlink ref="K27" r:id="rId851" tooltip="Brussels Airlines" display="https://www.flightradar24.com/data/airlines/sn-bel" xr:uid="{7A3B3DEA-75F3-3A43-B3DF-290C14C518CF}"/>
    <hyperlink ref="L27" r:id="rId852" tooltip="OO-SSB" display="https://www.flightradar24.com/data/aircraft/oo-ssb" xr:uid="{4AC931BB-4F89-734A-80E2-053EC72B6F8A}"/>
    <hyperlink ref="I137" r:id="rId853" tooltip="XQ775" display="https://www.flightradar24.com/data/flights/xq775" xr:uid="{FA429C26-B557-194D-A136-D005D2DF751F}"/>
    <hyperlink ref="J137" r:id="rId854" tooltip="Ankara Esenboga International Airport, Turkey" display="https://www.flightradar24.com/data/airports/esb" xr:uid="{6CA9CF94-0116-0149-8807-1BA4E46FE5EA}"/>
    <hyperlink ref="K137" r:id="rId855" tooltip="SunExpress" display="https://www.flightradar24.com/data/airlines/xq-sxs" xr:uid="{8DEBB092-9CA9-A749-A06B-169AF4CAD7A2}"/>
    <hyperlink ref="L137" r:id="rId856" tooltip="TC-SPH" display="https://www.flightradar24.com/data/aircraft/tc-sph" xr:uid="{724A98B4-D6C2-4A47-9527-05F109ACCE0C}"/>
    <hyperlink ref="I12" r:id="rId857" tooltip="A3621" display="https://www.flightradar24.com/data/flights/a3621" xr:uid="{02E3A632-A972-2548-A20F-B89175FC5842}"/>
    <hyperlink ref="J12" r:id="rId858" tooltip="Athens Eleftherios Venizelos, Greece" display="https://www.flightradar24.com/data/airports/ath" xr:uid="{25C54C6E-0DCA-A54E-B6D5-C47D6CE83ACC}"/>
    <hyperlink ref="K12" r:id="rId859" tooltip="Aegean Airlines" display="https://www.flightradar24.com/data/airlines/a3-aee" xr:uid="{FB8FB9C8-B13B-FE4B-8EB3-D2F07934F693}"/>
    <hyperlink ref="L12" r:id="rId860" tooltip="SX-NEP" display="https://www.flightradar24.com/data/aircraft/sx-nep" xr:uid="{11A4E7E4-3DCB-844E-9E68-58EDF06B2026}"/>
    <hyperlink ref="I15" r:id="rId861" tooltip="BA393" display="https://www.flightradar24.com/data/flights/ba393" xr:uid="{78B49284-890B-0246-BBC5-3FBC29CCA8F1}"/>
    <hyperlink ref="J15" r:id="rId862" tooltip="London Heathrow Airport, United Kingdom" display="https://www.flightradar24.com/data/airports/lhr" xr:uid="{66E7E8FD-7DEC-D44A-A54C-C34689276140}"/>
    <hyperlink ref="K15" r:id="rId863" tooltip="British Airways" display="https://www.flightradar24.com/data/airlines/ba-baw" xr:uid="{41E57ED1-F9C5-E847-AE81-EA9309F6CC66}"/>
    <hyperlink ref="L15" r:id="rId864" tooltip="G-NEOR" display="https://www.flightradar24.com/data/aircraft/g-neor" xr:uid="{23E884F3-A258-D04B-BE22-1F391538B010}"/>
    <hyperlink ref="I124" r:id="rId865" tooltip="FR2923" display="https://www.flightradar24.com/data/flights/fr2923" xr:uid="{61A6E8A2-3BFA-9346-B893-84B1B2E8EA5B}"/>
    <hyperlink ref="J124" r:id="rId866" tooltip="Malaga Costa Del Sol Airport, Spain" display="https://www.flightradar24.com/data/airports/agp" xr:uid="{53397063-D275-664E-943F-F5787065ED1C}"/>
    <hyperlink ref="K124" r:id="rId867" tooltip="Ryanair" display="https://www.flightradar24.com/data/airlines/fr-ryr" xr:uid="{A1A985C8-42C4-D14B-9FC6-728E1D0FE616}"/>
    <hyperlink ref="L124" r:id="rId868" tooltip="EI-DHZ" display="https://www.flightradar24.com/data/aircraft/ei-dhz" xr:uid="{6DEC936F-C3FA-F34E-B788-6C1CE939788E}"/>
    <hyperlink ref="I154" r:id="rId869" tooltip="UA998" display="https://www.flightradar24.com/data/flights/ua998" xr:uid="{0C13DBA5-157C-1449-81C7-D51F0168B4FB}"/>
    <hyperlink ref="J154" r:id="rId870" tooltip="New York Newark Liberty International Airport, United States" display="https://www.flightradar24.com/data/airports/ewr" xr:uid="{0527811A-E86C-8A47-B7C8-119E78B4B70B}"/>
    <hyperlink ref="K154" r:id="rId871" tooltip="United Airlines" display="https://www.flightradar24.com/data/airlines/ua-ual" xr:uid="{C9B3907D-1B09-C344-BD68-C47AFC85A6EB}"/>
    <hyperlink ref="L154" r:id="rId872" tooltip="N91007" display="https://www.flightradar24.com/data/aircraft/n91007" xr:uid="{4E16CEBB-D2C3-544D-8231-962E61AE544C}"/>
    <hyperlink ref="J22" r:id="rId873" tooltip="Frankfurt Airport, Germany" display="https://www.flightradar24.com/data/airports/fra" xr:uid="{3CEA565E-6199-824D-86D2-D106ED9D9A00}"/>
    <hyperlink ref="K22" r:id="rId874" tooltip="Lufthansa" display="https://www.flightradar24.com/data/airlines/lh-dlh" xr:uid="{579FE1F3-CD42-2348-8329-9EF7F8FF80F8}"/>
    <hyperlink ref="L22" r:id="rId875" tooltip="D-AILD" display="https://www.flightradar24.com/data/aircraft/d-aild" xr:uid="{FC567B6D-EA36-9E4F-A4E0-302AB750C4BA}"/>
    <hyperlink ref="J16" r:id="rId876" tooltip="Istanbul Airport, Turkey" display="https://www.flightradar24.com/data/airports/ist" xr:uid="{15A62707-0F9E-1240-B2E2-25536EE83989}"/>
    <hyperlink ref="K16" r:id="rId877" tooltip="Turkish Airlines" display="https://www.flightradar24.com/data/airlines/tk-thy" xr:uid="{51A68FCF-2ECD-D84E-AE1D-8D496C96533C}"/>
    <hyperlink ref="L16" r:id="rId878" tooltip="TC-LSP" display="https://www.flightradar24.com/data/aircraft/tc-lsp" xr:uid="{AA6BB2B9-1D48-4145-884E-56F753E4651C}"/>
    <hyperlink ref="J109" r:id="rId879" tooltip="Kinshasa N'Djili Airport, Democratic Republic Of The Congo" display="https://www.flightradar24.com/data/airports/fih" xr:uid="{8EBAF7AC-CCE2-0141-A949-9DB3B8EFAB2C}"/>
    <hyperlink ref="K109" r:id="rId880" tooltip="Brussels Airlines" display="https://www.flightradar24.com/data/airlines/sn-bel" xr:uid="{F21D9CAD-C039-5C49-8C0C-29A35A0E30CE}"/>
    <hyperlink ref="L109" r:id="rId881" tooltip="OO-SFG" display="https://www.flightradar24.com/data/aircraft/oo-sfg" xr:uid="{41B576FA-9283-2746-A7FF-6FFC1FE57A2C}"/>
    <hyperlink ref="I150" r:id="rId882" tooltip="HU760" display="https://www.flightradar24.com/data/flights/hu760" xr:uid="{A4678BAE-5FC3-5242-AFCD-78CB8506C0D2}"/>
    <hyperlink ref="J150" r:id="rId883" tooltip="Shenzhen Bao'an International Airport, China" display="https://www.flightradar24.com/data/airports/szx" xr:uid="{3532FD69-831D-2347-A1EC-10345B039F39}"/>
    <hyperlink ref="K150" r:id="rId884" tooltip="Hainan Airlines" display="https://www.flightradar24.com/data/airlines/hu-chh" xr:uid="{66214862-2C4C-6F47-BB0E-90E2226227DB}"/>
    <hyperlink ref="L150" r:id="rId885" tooltip="B-1345" display="https://www.flightradar24.com/data/aircraft/b-1345" xr:uid="{BFE7B4D8-CFE3-9D40-8B77-028DB5FC017A}"/>
    <hyperlink ref="J14" r:id="rId886" tooltip="Rome Leonardo da Vinci Fiumicino Airport, Italy" display="https://www.flightradar24.com/data/airports/fco" xr:uid="{8FB62FE3-FE1D-3147-980A-D5A88E50D278}"/>
    <hyperlink ref="K14" r:id="rId887" tooltip="ITA Airways" display="https://www.flightradar24.com/data/airlines/az-ity" xr:uid="{7CB7E605-000D-9949-8225-7B0542FEEEBF}"/>
    <hyperlink ref="L14" r:id="rId888" tooltip="EI-HXA" display="https://www.flightradar24.com/data/aircraft/ei-hxa" xr:uid="{7032931D-EF4F-3E4B-AFF5-85FF81C31593}"/>
    <hyperlink ref="J18" r:id="rId889" tooltip="Lisbon Humberto Delgado Airport, Portugal" display="https://www.flightradar24.com/data/airports/lis" xr:uid="{75EF3F8A-ACCC-B14F-9CB2-67482213E0DE}"/>
    <hyperlink ref="K18" r:id="rId890" tooltip="TAP Air Portugal" display="https://www.flightradar24.com/data/airlines/tp-tap" xr:uid="{7795235B-5695-094D-986A-E16B554FA08E}"/>
    <hyperlink ref="L18" r:id="rId891" tooltip="CS-TTO" display="https://www.flightradar24.com/data/aircraft/cs-tto" xr:uid="{E10412D4-59FE-BA44-B811-DAA744FFB29D}"/>
    <hyperlink ref="I6" r:id="rId892" tooltip="SN3243" display="https://www.flightradar24.com/data/flights/sn3243" xr:uid="{F826CD3C-CCB4-F342-B4D1-A41C5961793E}"/>
    <hyperlink ref="J6" r:id="rId893" tooltip="Kos Island International Airport, Greece" display="https://www.flightradar24.com/data/airports/kgs" xr:uid="{57BA5F4F-3679-8F42-B4CE-7D670FCA6110}"/>
    <hyperlink ref="K6" r:id="rId894" tooltip="Brussels Airlines" display="https://www.flightradar24.com/data/airlines/sn-bel" xr:uid="{8AE266B3-264A-B649-BAD6-4FC5A3429F06}"/>
    <hyperlink ref="L6" r:id="rId895" tooltip="OO-SBA" display="https://www.flightradar24.com/data/aircraft/oo-sba" xr:uid="{C9D4E8AF-28B5-B848-81E2-0CEEB386DAAF}"/>
    <hyperlink ref="I56" r:id="rId896" tooltip="3O136" display="https://www.flightradar24.com/data/flights/3o136" xr:uid="{3EB1C513-FBD1-FA4C-A6AA-B71BCC4C0C9E}"/>
    <hyperlink ref="J56" r:id="rId897" tooltip="Rabat-Sale Airport, Morocco" display="https://www.flightradar24.com/data/airports/rba" xr:uid="{C7179082-98CF-8842-928E-6D36B9251390}"/>
    <hyperlink ref="K56" r:id="rId898" tooltip="Air Arabia" display="https://www.flightradar24.com/data/airlines/g9-aby" xr:uid="{2CB1EFC9-0976-8042-8408-6B77B8388C72}"/>
    <hyperlink ref="L56" r:id="rId899" tooltip="CN-NMT" display="https://www.flightradar24.com/data/aircraft/cn-nmt" xr:uid="{AD8B5FC2-FE74-BD43-AA9B-D077ACCE0365}"/>
    <hyperlink ref="J146" r:id="rId900" tooltip="Washington Dulles International Airport, United States" display="https://www.flightradar24.com/data/airports/iad" xr:uid="{039F1076-87FD-9E47-8B59-A873897927DF}"/>
    <hyperlink ref="K146" r:id="rId901" tooltip="United Airlines" display="https://www.flightradar24.com/data/airlines/ua-ual" xr:uid="{BD409D06-0248-E04A-AF3C-5B1BB89A062C}"/>
    <hyperlink ref="L146" r:id="rId902" tooltip="N2747U" display="https://www.flightradar24.com/data/aircraft/n2747u" xr:uid="{1E517E20-824E-D840-A964-C750EC4B9F0B}"/>
    <hyperlink ref="J3" r:id="rId903" tooltip="Madrid Barajas Airport, Spain" display="https://www.flightradar24.com/data/airports/mad" xr:uid="{9CE98212-FA98-8A42-A079-B63826773E44}"/>
    <hyperlink ref="K3" r:id="rId904" tooltip="Iberia" display="https://www.flightradar24.com/data/airlines/ib-ibe" xr:uid="{6A346CA1-D65B-D04B-A615-7FC5E2A4EDCD}"/>
    <hyperlink ref="L3" r:id="rId905" tooltip="EC-NCM" display="https://www.flightradar24.com/data/aircraft/ec-ncm" xr:uid="{7DFA49AB-12FF-6A49-8DCE-F3833643CDA5}"/>
    <hyperlink ref="J108" r:id="rId906" tooltip="Freetown Lungi International Airport, Sierra Leone" display="https://www.flightradar24.com/data/airports/fna" xr:uid="{8D4B2B0F-78D4-DF47-B477-1F3182E20674}"/>
    <hyperlink ref="K108" r:id="rId907" tooltip="Brussels Airlines" display="https://www.flightradar24.com/data/airlines/sn-bel" xr:uid="{E1F4CE3A-4B2C-8A42-8A1C-43D44CE31038}"/>
    <hyperlink ref="L108" r:id="rId908" tooltip="OO-SFE" display="https://www.flightradar24.com/data/aircraft/oo-sfe" xr:uid="{C19D6F96-D50E-F64B-8E2E-F18A83AC8286}"/>
    <hyperlink ref="J110" r:id="rId909" tooltip="Dakar Blaise Diagne International Airport, Senegal" display="https://www.flightradar24.com/data/airports/dss" xr:uid="{B6AC3EF7-B3B3-0041-8601-4C132165F49E}"/>
    <hyperlink ref="K110" r:id="rId910" tooltip="Brussels Airlines" display="https://www.flightradar24.com/data/airlines/sn-bel" xr:uid="{D18E0427-5646-AF42-8312-18CDB78A2145}"/>
    <hyperlink ref="L110" r:id="rId911" tooltip="OO-SFJ" display="https://www.flightradar24.com/data/aircraft/oo-sfj" xr:uid="{A799AFD3-B96E-1F46-B8AA-F0A9EBD6A205}"/>
    <hyperlink ref="J78" r:id="rId912" tooltip="Barcelona El Prat Airport, Spain" display="https://www.flightradar24.com/data/airports/bcn" xr:uid="{03545B8E-FD93-384D-82A8-CA12D3BEE3B2}"/>
    <hyperlink ref="K78" r:id="rId913" tooltip="Brussels Airlines" display="https://www.flightradar24.com/data/airlines/sn-bel" xr:uid="{959B4C81-676C-6E4C-B7D8-8D8CBB3F1521}"/>
    <hyperlink ref="L78" r:id="rId914" tooltip="OO-SNE" display="https://www.flightradar24.com/data/aircraft/oo-sne" xr:uid="{C4A17E5F-A7AA-F44C-9861-457DD7C5DBC3}"/>
    <hyperlink ref="I98" r:id="rId915" tooltip="TU955" display="https://www.flightradar24.com/data/flights/tu955" xr:uid="{ADB25C78-BD80-9841-86B7-8756174EF94B}"/>
    <hyperlink ref="J98" r:id="rId916" tooltip="Tunis Carthage International Airport, Tunisia" display="https://www.flightradar24.com/data/airports/tun" xr:uid="{508107B7-7D09-5E41-9D2E-77AFF2270635}"/>
    <hyperlink ref="K98" r:id="rId917" tooltip="Tunisair" display="https://www.flightradar24.com/data/airlines/tu-tar" xr:uid="{93375FB1-A8B7-0E4A-9CE8-F12378190032}"/>
    <hyperlink ref="L98" r:id="rId918" tooltip="TS-IMT" display="https://www.flightradar24.com/data/aircraft/ts-imt" xr:uid="{415CA086-5A5F-EA4A-A934-A0FB2F1E104C}"/>
    <hyperlink ref="I55" r:id="rId919" tooltip="3O114" display="https://www.flightradar24.com/data/flights/3o114" xr:uid="{E402EB07-0B81-C340-BD61-BAF5B1AE8E1A}"/>
    <hyperlink ref="J55" r:id="rId920" tooltip="Tangier Ibn Battouta Airport, Morocco" display="https://www.flightradar24.com/data/airports/tng" xr:uid="{1E7FEB60-1D06-5E46-97A8-557B453FCD98}"/>
    <hyperlink ref="K55" r:id="rId921" tooltip="Air Arabia" display="https://www.flightradar24.com/data/airlines/g9-aby" xr:uid="{20D3B48A-F9F8-1F45-BDBA-8C6B9A372862}"/>
    <hyperlink ref="L55" r:id="rId922" tooltip="CN-NMP" display="https://www.flightradar24.com/data/aircraft/cn-nmp" xr:uid="{ED915AC4-A3DE-2C4C-A7D4-6FAC4051EF5E}"/>
    <hyperlink ref="I100" r:id="rId923" tooltip="VF66" display="https://www.flightradar24.com/data/flights/vf66" xr:uid="{01575A3F-CBA7-FE46-891D-C80862EE006C}"/>
    <hyperlink ref="J100" r:id="rId924" tooltip="Istanbul Sabiha Gokcen International Airport, Turkey" display="https://www.flightradar24.com/data/airports/saw" xr:uid="{A0AE332F-7686-9246-8B9A-6E2BEBC1A5B9}"/>
    <hyperlink ref="K100" r:id="rId925" tooltip="AJet" display="https://www.flightradar24.com/data/airlines/vf-tkj" xr:uid="{34F1ACC7-5C94-C546-83E0-92596739545F}"/>
    <hyperlink ref="L100" r:id="rId926" tooltip="YL-LDJ" display="https://www.flightradar24.com/data/aircraft/yl-ldj" xr:uid="{872C661C-9C06-0349-9A6E-11CFAD6F94E7}"/>
    <hyperlink ref="I54" r:id="rId927" tooltip="3O138" display="https://www.flightradar24.com/data/flights/3o138" xr:uid="{EC9E2156-78F7-A24C-B4F5-E675A518F081}"/>
    <hyperlink ref="J54" r:id="rId928" tooltip="Tetuan Sania Ramel Airport, Morocco" display="https://www.flightradar24.com/data/airports/ttu" xr:uid="{DE50FD6E-47D2-6043-B5E2-A000DC424AA1}"/>
    <hyperlink ref="K54" r:id="rId929" tooltip="Air Arabia" display="https://www.flightradar24.com/data/airlines/g9-aby" xr:uid="{B068409D-62E1-2549-B768-A81FD7C1AECD}"/>
    <hyperlink ref="L54" r:id="rId930" tooltip="CN-NML" display="https://www.flightradar24.com/data/aircraft/cn-nml" xr:uid="{BF3B69A5-379D-F749-A69E-8A0480B35777}"/>
    <hyperlink ref="I130" r:id="rId931" tooltip="TB2511" display="https://www.flightradar24.com/data/flights/tb2511" xr:uid="{3CA00F5A-B902-394D-AAF2-32C308FC5CF1}"/>
    <hyperlink ref="J130" r:id="rId932" tooltip="Agadir Al Massira Airport, Morocco" display="https://www.flightradar24.com/data/airports/aga" xr:uid="{6C427B23-18D7-7746-88C7-186DA5C7CAAF}"/>
    <hyperlink ref="K130" r:id="rId933" tooltip="TUI" display="https://www.flightradar24.com/data/airlines/x3-tui" xr:uid="{FCC22AEA-4091-DB4D-91B1-E737E5570437}"/>
    <hyperlink ref="L130" r:id="rId934" tooltip="OO-JAX" display="https://www.flightradar24.com/data/aircraft/oo-jax" xr:uid="{1DADECA5-C8BC-7049-A629-EB0732CCDA91}"/>
    <hyperlink ref="I53" r:id="rId935" tooltip="3O118" display="https://www.flightradar24.com/data/flights/3o118" xr:uid="{345B49C0-5E13-D74E-9679-BEBA51DF2CBA}"/>
    <hyperlink ref="J53" r:id="rId936" tooltip="Fes Saiss Airport, Morocco" display="https://www.flightradar24.com/data/airports/fez" xr:uid="{65A731C9-6D20-5F43-B107-3A103BBED2F6}"/>
    <hyperlink ref="K53" r:id="rId937" tooltip="Air Arabia" display="https://www.flightradar24.com/data/airlines/g9-aby" xr:uid="{4C0ACDE4-B11B-D74B-938A-AF9532B16A37}"/>
    <hyperlink ref="L53" r:id="rId938" tooltip="CN-NMI" display="https://www.flightradar24.com/data/aircraft/cn-nmi" xr:uid="{EA021EDD-7BE4-BC4F-8168-AB529596F0E9}"/>
    <hyperlink ref="I114" r:id="rId939" tooltip="FR2917" display="https://www.flightradar24.com/data/flights/fr2917" xr:uid="{8ACFB8C8-33FC-AD4E-A892-2F0388AA81A0}"/>
    <hyperlink ref="J114" r:id="rId940" tooltip="Barcelona El Prat Airport, Spain" display="https://www.flightradar24.com/data/airports/bcn" xr:uid="{8B863620-18FB-3A42-AF79-E920FD4300BB}"/>
    <hyperlink ref="K114" r:id="rId941" tooltip="Ryanair" display="https://www.flightradar24.com/data/airlines/fr-ryr" xr:uid="{0196CF98-7B7E-C547-A4E0-1F8F1D8EEBE7}"/>
    <hyperlink ref="L114" r:id="rId942" tooltip="EI-IGW" display="https://www.flightradar24.com/data/aircraft/ei-igw" xr:uid="{6A6D792B-D442-714F-968F-F0D51F366385}"/>
    <hyperlink ref="J163" r:id="rId943" tooltip="Munich Airport, Germany" display="https://www.flightradar24.com/data/airports/muc" xr:uid="{2F02CE45-0855-7649-8177-F2880171C3A8}"/>
    <hyperlink ref="K163" r:id="rId944" tooltip="Lufthansa" display="https://www.flightradar24.com/data/airlines/lh-dlh" xr:uid="{40BED257-F402-A54B-8149-88E2C2F56EC9}"/>
    <hyperlink ref="L163" r:id="rId945" tooltip="D-ACNH" display="https://www.flightradar24.com/data/aircraft/d-acnh" xr:uid="{834F511C-B1C5-AD4F-8992-0C2C8FB4D957}"/>
    <hyperlink ref="I112" r:id="rId946" tooltip="FR5235" display="https://www.flightradar24.com/data/flights/fr5235" xr:uid="{259BA253-BD68-984B-89A5-8BF000D7BD5B}"/>
    <hyperlink ref="J112" r:id="rId947" tooltip="Pisa Galileo Galilei Airport, Italy" display="https://www.flightradar24.com/data/airports/psa" xr:uid="{8300AE76-F8A2-EE4A-9930-257A85E1E883}"/>
    <hyperlink ref="K112" r:id="rId948" tooltip="Ryanair" display="https://www.flightradar24.com/data/airlines/fr-ryr" xr:uid="{E76E82AA-123B-6246-BB51-9AF3F18B9E9F}"/>
    <hyperlink ref="L112" r:id="rId949" tooltip="9H-VVL" display="https://www.flightradar24.com/data/aircraft/9h-vvl" xr:uid="{751C2ED1-2CE8-CF45-9309-446BA2DAC8E4}"/>
    <hyperlink ref="I115" r:id="rId950" tooltip="TB1911" display="https://www.flightradar24.com/data/flights/tb1911" xr:uid="{A1CE864F-D679-F447-8869-719052FBCD5D}"/>
    <hyperlink ref="J115" r:id="rId951" tooltip="Funchal Cristiano Ronaldo Airport, Portugal" display="https://www.flightradar24.com/data/airports/fnc" xr:uid="{6F2A4EB3-7500-ED44-9EF6-0920CA34369C}"/>
    <hyperlink ref="K115" r:id="rId952" tooltip="TUI" display="https://www.flightradar24.com/data/airlines/x3-tui" xr:uid="{A5D17DEC-BE96-C14D-B7F8-C2884E383779}"/>
    <hyperlink ref="L115" r:id="rId953" tooltip="OO-TMS" display="https://www.flightradar24.com/data/aircraft/oo-tms" xr:uid="{67AFA0FC-F995-7349-8EE7-0D43D678117C}"/>
    <hyperlink ref="I162" r:id="rId954" display="https://www.flightradar24.com/data/flights/" xr:uid="{0227F85E-6D94-284A-AC86-F5EC807D4A6B}"/>
    <hyperlink ref="J162" r:id="rId955" tooltip="Stuttgart Airport, Germany" display="https://www.flightradar24.com/data/airports/str" xr:uid="{A276886B-6E64-3042-B3E5-59F30E6FB2C1}"/>
    <hyperlink ref="L162" r:id="rId956" tooltip="D-CARO" display="https://www.flightradar24.com/data/aircraft/d-caro" xr:uid="{92610F19-CB59-8843-900F-80A745DCCF54}"/>
    <hyperlink ref="J165" r:id="rId957" tooltip="Frankfurt Airport, Germany" display="https://www.flightradar24.com/data/airports/fra" xr:uid="{47E8B3EA-31FF-C944-94DD-683CFEE403AF}"/>
    <hyperlink ref="K165" r:id="rId958" tooltip="Lufthansa" display="https://www.flightradar24.com/data/airlines/lh-dlh" xr:uid="{A3454786-3037-F64B-A1B2-30DAC227CA57}"/>
    <hyperlink ref="L165" r:id="rId959" tooltip="D-AECH" display="https://www.flightradar24.com/data/aircraft/d-aech" xr:uid="{1C494D08-AB77-8E47-8EFA-B1AB40F94430}"/>
    <hyperlink ref="I82" r:id="rId960" tooltip="SN3781" display="https://www.flightradar24.com/data/flights/sn3781" xr:uid="{230C94AA-6830-F245-BA2E-490A20DA7E34}"/>
    <hyperlink ref="J82" r:id="rId961" tooltip="Tenerife South Airport, Spain" display="https://www.flightradar24.com/data/airports/tfs" xr:uid="{F8174867-8B38-0745-A00E-D657A2C61037}"/>
    <hyperlink ref="K82" r:id="rId962" tooltip="Brussels Airlines" display="https://www.flightradar24.com/data/airlines/sn-bel" xr:uid="{E7312A07-7888-1E41-997D-482EA441FDE6}"/>
    <hyperlink ref="L82" r:id="rId963" tooltip="OO-SNJ" display="https://www.flightradar24.com/data/aircraft/oo-snj" xr:uid="{E54E41C4-1A11-5D43-BD51-A3C8875A976D}"/>
    <hyperlink ref="I151" r:id="rId964" tooltip="HU492" display="https://www.flightradar24.com/data/flights/hu492" xr:uid="{6887E13B-66B7-A845-ACF1-E71E6605101A}"/>
    <hyperlink ref="J151" r:id="rId965" tooltip="Beijing Capital International Airport, China" display="https://www.flightradar24.com/data/airports/pek" xr:uid="{DC5F81AE-F5A8-E947-B0F5-EC522ACEC571}"/>
    <hyperlink ref="K151" r:id="rId966" tooltip="Hainan Airlines" display="https://www.flightradar24.com/data/airlines/hu-chh" xr:uid="{0BB8431C-FDF7-FD47-B8B7-62DADC703BFC}"/>
    <hyperlink ref="L151" r:id="rId967" tooltip="B-208S" display="https://www.flightradar24.com/data/aircraft/b-208s" xr:uid="{981B5BE7-FBC9-F043-8992-87D48A10FC7D}"/>
    <hyperlink ref="J102" r:id="rId968" tooltip="Bucharest Henri Coanda International Airport, Romania" display="https://www.flightradar24.com/data/airports/otp" xr:uid="{0B5CAB52-D93F-D94F-8A7F-40A2E253E5C4}"/>
    <hyperlink ref="K102" r:id="rId969" tooltip="HiSky" display="https://www.flightradar24.com/data/airlines/h7-hym" xr:uid="{A2B302CD-E327-0E4B-AAAD-3DD95DA4D7AD}"/>
    <hyperlink ref="L102" r:id="rId970" tooltip="YR-SUN" display="https://www.flightradar24.com/data/aircraft/yr-sun" xr:uid="{09B44F75-5E91-5B4D-B62A-C0935BFE45AF}"/>
    <hyperlink ref="I148" r:id="rId971" tooltip="TB351" display="https://www.flightradar24.com/data/flights/tb351" xr:uid="{B7839011-7C9A-9444-95E6-81BC7284C658}"/>
    <hyperlink ref="J148" r:id="rId972" tooltip="Cancun International Airport, Mexico" display="https://www.flightradar24.com/data/airports/cun" xr:uid="{C7341361-C4E2-2249-802B-773CAE03F5FD}"/>
    <hyperlink ref="K148" r:id="rId973" tooltip="TUI" display="https://www.flightradar24.com/data/airlines/x3-tui" xr:uid="{B1CC9AA0-A3E6-A64D-8444-34EAFCA8A212}"/>
    <hyperlink ref="L148" r:id="rId974" tooltip="PH-TFL" display="https://www.flightradar24.com/data/aircraft/ph-tfl" xr:uid="{BCD495F7-6963-D64C-B7EF-436BE25A014E}"/>
    <hyperlink ref="I67" r:id="rId975" tooltip="TB1753" display="https://www.flightradar24.com/data/flights/tb1753" xr:uid="{54BE7898-FECC-864D-8B5F-6294EC4526CF}"/>
    <hyperlink ref="J67" r:id="rId976" tooltip="Tenerife South Airport, Spain" display="https://www.flightradar24.com/data/airports/tfs" xr:uid="{50FA7C16-94B5-7840-816C-A7CF8E4DA834}"/>
    <hyperlink ref="K67" r:id="rId977" tooltip="SmartLynx" display="https://www.flightradar24.com/data/airlines/6y-art" xr:uid="{F7022125-F4E8-0842-924F-A2227E45E46F}"/>
    <hyperlink ref="L67" r:id="rId978" tooltip="ES-SAB" display="https://www.flightradar24.com/data/aircraft/es-sab" xr:uid="{E7CA9DB3-9883-5C47-8AC7-7C138C14DEAC}"/>
    <hyperlink ref="J116" r:id="rId979" tooltip="Keflavik International Airport, Iceland" display="https://www.flightradar24.com/data/airports/kef" xr:uid="{7EC6D5AB-C1D7-5F49-8E9F-1C02C0422CC3}"/>
    <hyperlink ref="K116" r:id="rId980" tooltip="Icelandair" display="https://www.flightradar24.com/data/airlines/fi-ice" xr:uid="{24AD68DB-3BB3-9649-A4E7-3C357FF105BE}"/>
    <hyperlink ref="L116" r:id="rId981" tooltip="TF-ICM" display="https://www.flightradar24.com/data/aircraft/tf-icm" xr:uid="{F5CFFB70-73C0-2547-8F08-878D20F86AE7}"/>
    <hyperlink ref="I93" r:id="rId982" tooltip="SN2213" display="https://www.flightradar24.com/data/flights/sn2213" xr:uid="{5BCD93DA-884F-6044-B8C9-A7C5FED5ABEC}"/>
    <hyperlink ref="J93" r:id="rId983" tooltip="Samos International Airport, Greece" display="https://www.flightradar24.com/data/airports/smi" xr:uid="{7E67A5E0-71FB-6F41-8FAC-99638F13BED4}"/>
    <hyperlink ref="K93" r:id="rId984" tooltip="Brussels Airlines" display="https://www.flightradar24.com/data/airlines/sn-bel" xr:uid="{365DA1B0-A73A-0949-812A-F7C9B16B7620}"/>
    <hyperlink ref="L93" r:id="rId985" tooltip="OO-TCQ" display="https://www.flightradar24.com/data/aircraft/oo-tcq" xr:uid="{1D94B7B1-758E-7242-832D-5DA1037EDBFD}"/>
    <hyperlink ref="J81" r:id="rId986" tooltip="Nice Cote d'Azur Airport, France" display="https://www.flightradar24.com/data/airports/nce" xr:uid="{C492D46D-0C32-C640-9798-A146C129C217}"/>
    <hyperlink ref="K81" r:id="rId987" tooltip="Brussels Airlines" display="https://www.flightradar24.com/data/airlines/sn-bel" xr:uid="{5E7D19AC-9FC6-474B-919D-9D7543BC1B45}"/>
    <hyperlink ref="L81" r:id="rId988" tooltip="OO-SNI" display="https://www.flightradar24.com/data/aircraft/oo-sni" xr:uid="{494B07B4-D1DF-654F-9FE7-C682A662CE95}"/>
    <hyperlink ref="J41" r:id="rId989" tooltip="Munich Airport, Germany" display="https://www.flightradar24.com/data/airports/muc" xr:uid="{490E347B-AF2F-8447-9D95-9F27978A2282}"/>
    <hyperlink ref="K41" r:id="rId990" tooltip="Brussels Airlines" display="https://www.flightradar24.com/data/airlines/sn-bel" xr:uid="{21AC9AF5-A073-1546-A38F-729AE7AD28C4}"/>
    <hyperlink ref="L41" r:id="rId991" tooltip="OO-SSS" display="https://www.flightradar24.com/data/aircraft/oo-sss" xr:uid="{087B8F40-0275-A946-8E1F-4A896DB69370}"/>
    <hyperlink ref="I11" r:id="rId992" tooltip="GQ801" display="https://www.flightradar24.com/data/flights/gq801" xr:uid="{B598564D-60C8-1648-ACA9-F2CE378EDB1F}"/>
    <hyperlink ref="J11" r:id="rId993" tooltip="Athens Eleftherios Venizelos, Greece" display="https://www.flightradar24.com/data/airports/ath" xr:uid="{E5D9C2AB-3762-8844-972B-7B80CB5A9E1B}"/>
    <hyperlink ref="K11" r:id="rId994" tooltip="SKY express" display="https://www.flightradar24.com/data/airlines/gq-seh" xr:uid="{695A8125-6443-5E4D-B06A-A15ACBFB0AD1}"/>
    <hyperlink ref="L11" r:id="rId995" tooltip="SX-CHG" display="https://www.flightradar24.com/data/aircraft/sx-chg" xr:uid="{19C421E8-3967-544B-BB69-CB187070AE6F}"/>
    <hyperlink ref="J26" r:id="rId996" tooltip="Bologna Guglielmo Marconi Airport, Italy" display="https://www.flightradar24.com/data/airports/blq" xr:uid="{DBBEED5E-9D5A-9549-893D-EEB441E0E30E}"/>
    <hyperlink ref="K26" r:id="rId997" tooltip="Brussels Airlines" display="https://www.flightradar24.com/data/airlines/sn-bel" xr:uid="{25F234B9-F85D-5C4C-81B5-B2495DAB52A1}"/>
    <hyperlink ref="L26" r:id="rId998" tooltip="OO-SSA" display="https://www.flightradar24.com/data/aircraft/oo-ssa" xr:uid="{6C6791F2-4484-874A-8A67-EA07AB8E13C7}"/>
    <hyperlink ref="I169" r:id="rId999" tooltip="WF1891" display="https://www.flightradar24.com/data/flights/wf1891" xr:uid="{5D2F5BD8-076C-3D46-965D-A766C27F887A}"/>
    <hyperlink ref="J169" r:id="rId1000" tooltip="Bergen Flesland Airport, Norway" display="https://www.flightradar24.com/data/airports/bgo" xr:uid="{7294C80A-17F5-454F-ADE5-0D754DF339DD}"/>
    <hyperlink ref="K169" r:id="rId1001" tooltip="Wideroe" display="https://www.flightradar24.com/data/airlines/wf-wif" xr:uid="{06420FB5-9A09-584A-BDF6-DDF8FF6950B5}"/>
    <hyperlink ref="L169" r:id="rId1002" tooltip="LN-WEC" display="https://www.flightradar24.com/data/aircraft/ln-wec" xr:uid="{3E2656AC-018F-4544-9CFD-E3C35E1EE56E}"/>
    <hyperlink ref="J45" r:id="rId1003" tooltip="Vilnius International Airport, Lithuania" display="https://www.flightradar24.com/data/airports/vno" xr:uid="{539DDBAD-F1B4-2345-AE69-CCEC81B6C5CB}"/>
    <hyperlink ref="K45" r:id="rId1004" tooltip="Brussels Airlines" display="https://www.flightradar24.com/data/airlines/sn-bel" xr:uid="{0D85E927-4AAD-3C46-BEFD-E67B418315D9}"/>
    <hyperlink ref="L45" r:id="rId1005" tooltip="OO-SSV" display="https://www.flightradar24.com/data/aircraft/oo-ssv" xr:uid="{3E56CDCB-A283-2249-B468-98244D1D0DF4}"/>
    <hyperlink ref="I30" r:id="rId1006" tooltip="SN3343" display="https://www.flightradar24.com/data/flights/sn3343" xr:uid="{AC90430C-6A11-E44A-876C-345CE4CC85AD}"/>
    <hyperlink ref="J30" r:id="rId1007" tooltip="Ljubljana Joze Pucnik Airport, Slovenia" display="https://www.flightradar24.com/data/airports/lju" xr:uid="{164E3D8E-B8BD-284A-9F2C-1CDBA8F069CC}"/>
    <hyperlink ref="K30" r:id="rId1008" tooltip="Brussels Airlines" display="https://www.flightradar24.com/data/airlines/sn-bel" xr:uid="{6FE4FAC4-2EC5-2041-B2F9-02763D96DB49}"/>
    <hyperlink ref="L30" r:id="rId1009" tooltip="OO-SSF" display="https://www.flightradar24.com/data/aircraft/oo-ssf" xr:uid="{9EDBA1AE-93BE-DC40-8745-90667D7D0EF4}"/>
    <hyperlink ref="I118" r:id="rId1010" tooltip="TB2161" display="https://www.flightradar24.com/data/flights/tb2161" xr:uid="{D71402E6-CCF2-A746-8363-04095C148ADA}"/>
    <hyperlink ref="J118" r:id="rId1011" tooltip="Patras Araxos Airport, Greece" display="https://www.flightradar24.com/data/airports/gpa" xr:uid="{3A7BF735-8781-C14F-A47C-C29902275A62}"/>
    <hyperlink ref="K118" r:id="rId1012" tooltip="TUI" display="https://www.flightradar24.com/data/airlines/x3-tui" xr:uid="{313474E1-C4EB-1146-BB24-2E59B23F8CD2}"/>
    <hyperlink ref="L118" r:id="rId1013" tooltip="OO-JAR" display="https://www.flightradar24.com/data/aircraft/oo-jar" xr:uid="{424E1CA6-92DA-924D-A197-7AAE691D6A66}"/>
    <hyperlink ref="J139" r:id="rId1014" tooltip="New York Newark Liberty International Airport, United States" display="https://www.flightradar24.com/data/airports/ewr" xr:uid="{47DFB391-2C6D-D24C-B0C8-9614E160B310}"/>
    <hyperlink ref="K139" r:id="rId1015" tooltip="United Airlines" display="https://www.flightradar24.com/data/airlines/ua-ual" xr:uid="{43167028-FB85-7A4D-89CB-B9B4790CD5B3}"/>
    <hyperlink ref="L139" r:id="rId1016" tooltip="N17128" display="https://www.flightradar24.com/data/aircraft/n17128" xr:uid="{2FD47D18-575E-3346-985A-C93FD616D195}"/>
    <hyperlink ref="J9" r:id="rId1017" tooltip="Madrid Barajas Airport, Spain" display="https://www.flightradar24.com/data/airports/mad" xr:uid="{9C47B1F0-8F11-9D41-BDD1-C65010EEC760}"/>
    <hyperlink ref="K9" r:id="rId1018" tooltip="Brussels Airlines" display="https://www.flightradar24.com/data/airlines/sn-bel" xr:uid="{AE0F7875-7DD1-9A43-A2EE-607722219CD9}"/>
    <hyperlink ref="L9" r:id="rId1019" tooltip="OO-SBC" display="https://www.flightradar24.com/data/aircraft/oo-sbc" xr:uid="{B2955E5C-F9F0-4748-8407-FC9AFEEA302C}"/>
    <hyperlink ref="J4" r:id="rId1020" tooltip="Stockholm Arlanda Airport, Sweden" display="https://www.flightradar24.com/data/airports/arn" xr:uid="{BD51A485-2734-6A49-A106-4F7D3F88D927}"/>
    <hyperlink ref="K4" r:id="rId1021" tooltip="SAS" display="https://www.flightradar24.com/data/airlines/sk-sas" xr:uid="{747295F9-5299-BE49-9B7F-F6DDAB3475C9}"/>
    <hyperlink ref="L4" r:id="rId1022" tooltip="EI-SIL" display="https://www.flightradar24.com/data/aircraft/ei-sil" xr:uid="{EFDC28CB-7F2D-5242-8BA0-E6B9EB6A3EAC}"/>
    <hyperlink ref="J83" r:id="rId1023" tooltip="Porto Francisco de Sa Carneiro Airport, Portugal" display="https://www.flightradar24.com/data/airports/opo" xr:uid="{C0F89F04-2A4A-1D45-8AE3-62FA2CB8C069}"/>
    <hyperlink ref="K83" r:id="rId1024" tooltip="Brussels Airlines" display="https://www.flightradar24.com/data/airlines/sn-bel" xr:uid="{92FA6B68-D3A8-E440-91CD-1EA43574E19B}"/>
    <hyperlink ref="L83" r:id="rId1025" tooltip="OO-SNK" display="https://www.flightradar24.com/data/aircraft/oo-snk" xr:uid="{8A3D5057-93AF-0D4C-895E-1D952B6CA2F4}"/>
    <hyperlink ref="J103" r:id="rId1026" tooltip="Istanbul Airport, Turkey" display="https://www.flightradar24.com/data/airports/ist" xr:uid="{59C976EF-BE49-334E-92D6-844DC085C1AF}"/>
    <hyperlink ref="K103" r:id="rId1027" tooltip="Turkish Airlines" display="https://www.flightradar24.com/data/airlines/tk-thy" xr:uid="{49E30E35-0854-7E46-89CF-3421F96DAA6A}"/>
    <hyperlink ref="L103" r:id="rId1028" tooltip="TC-JTK" display="https://www.flightradar24.com/data/aircraft/tc-jtk" xr:uid="{2F4D37DE-CC2D-B241-91B7-E8D75218E681}"/>
    <hyperlink ref="J49" r:id="rId1029" tooltip="Stockholm Arlanda Airport, Sweden" display="https://www.flightradar24.com/data/airports/arn" xr:uid="{BFBF6B19-0517-3842-BE62-014A64C62B1B}"/>
    <hyperlink ref="K49" r:id="rId1030" tooltip="Brussels Airlines" display="https://www.flightradar24.com/data/airlines/sn-bel" xr:uid="{EC30B3D0-89A2-B24E-BC0D-45AD98A68ABE}"/>
    <hyperlink ref="L49" r:id="rId1031" tooltip="OO-SSX" display="https://www.flightradar24.com/data/aircraft/oo-ssx" xr:uid="{92566FCA-D978-4547-94CD-0C4852E8D4B8}"/>
    <hyperlink ref="J23" r:id="rId1032" tooltip="Frankfurt Airport, Germany" display="https://www.flightradar24.com/data/airports/fra" xr:uid="{ACE776A3-7D64-814F-99A7-D5F247D52A64}"/>
    <hyperlink ref="K23" r:id="rId1033" tooltip="Lufthansa" display="https://www.flightradar24.com/data/airlines/lh-dlh" xr:uid="{F3CE1031-F10A-3B40-A715-BD1A56638489}"/>
    <hyperlink ref="L23" r:id="rId1034" tooltip="D-AILE" display="https://www.flightradar24.com/data/aircraft/d-aile" xr:uid="{582A51D6-C057-5045-AFA6-1FD9ECFD1C87}"/>
    <hyperlink ref="J73" r:id="rId1035" tooltip="Vienna International Airport, Austria" display="https://www.flightradar24.com/data/airports/vie" xr:uid="{2B7CF5B4-8355-7A4C-BD88-BE216DE67168}"/>
    <hyperlink ref="K73" r:id="rId1036" tooltip="Austrian Airlines" display="https://www.flightradar24.com/data/airlines/os-aua" xr:uid="{1B015115-D7FA-A642-A64A-F472FDABB3CD}"/>
    <hyperlink ref="L73" r:id="rId1037" tooltip="OE-LBX" display="https://www.flightradar24.com/data/aircraft/oe-lbx" xr:uid="{9BB84C45-D35E-FD4A-8F2D-AB22952675B0}"/>
    <hyperlink ref="J92" r:id="rId1038" tooltip="Rome Leonardo da Vinci Fiumicino Airport, Italy" display="https://www.flightradar24.com/data/airports/fco" xr:uid="{76F0A8FB-E501-4743-9324-4CE4551464E5}"/>
    <hyperlink ref="K92" r:id="rId1039" tooltip="Brussels Airlines" display="https://www.flightradar24.com/data/airlines/sn-bel" xr:uid="{357A2EF4-E90E-534A-99E7-CC9711A660BF}"/>
    <hyperlink ref="L92" r:id="rId1040" tooltip="OO-TCH" display="https://www.flightradar24.com/data/aircraft/oo-tch" xr:uid="{B0FE14E5-D47B-8147-86C8-6328002E352D}"/>
    <hyperlink ref="J59" r:id="rId1041" tooltip="Barcelona El Prat Airport, Spain" display="https://www.flightradar24.com/data/airports/bcn" xr:uid="{0CBD36DD-EFC6-6F46-91B5-7A5BE6DC2375}"/>
    <hyperlink ref="K59" r:id="rId1042" tooltip="Vueling" display="https://www.flightradar24.com/data/airlines/vy-vlg" xr:uid="{1F800891-4D41-D743-9D3B-787F3346380A}"/>
    <hyperlink ref="L59" r:id="rId1043" tooltip="EC-LLM" display="https://www.flightradar24.com/data/aircraft/ec-llm" xr:uid="{1E5CDB7F-9776-D84B-81BA-EAA40046F899}"/>
    <hyperlink ref="I119" r:id="rId1044" tooltip="AH2063" display="https://www.flightradar24.com/data/flights/ah2063" xr:uid="{A79D1D35-3D17-F94C-9C7C-0959084FA354}"/>
    <hyperlink ref="J119" r:id="rId1045" tooltip="Algiers Houari Boumediene Airport, Algeria" display="https://www.flightradar24.com/data/airports/alg" xr:uid="{BD84D8F9-0BBD-FB43-9031-FC2BFFF836DF}"/>
    <hyperlink ref="K119" r:id="rId1046" tooltip="Air Algerie" display="https://www.flightradar24.com/data/airlines/ah-dah" xr:uid="{3C876A07-ECA2-B24C-9DD5-29B387CD6A1C}"/>
    <hyperlink ref="L119" r:id="rId1047" tooltip="7T-VKP" display="https://www.flightradar24.com/data/aircraft/7t-vkp" xr:uid="{036BEF3F-013C-594F-8BD7-F208C1D2887D}"/>
    <hyperlink ref="J155" r:id="rId1048" tooltip="Zurich Airport, Switzerland" display="https://www.flightradar24.com/data/airports/zrh" xr:uid="{3DF11FED-D28A-6548-8233-26E9CEF7FDFF}"/>
    <hyperlink ref="K155" r:id="rId1049" tooltip="Swiss" display="https://www.flightradar24.com/data/airlines/lx-swr" xr:uid="{39F0347E-320E-AB4C-A5F8-1B4F7BB360BF}"/>
    <hyperlink ref="L155" r:id="rId1050" tooltip="HB-JBF" display="https://www.flightradar24.com/data/aircraft/hb-jbf" xr:uid="{6874EB8B-70FF-E747-8698-7E6B991A6859}"/>
    <hyperlink ref="I117" r:id="rId1051" tooltip="TB2421" display="https://www.flightradar24.com/data/flights/tb2421" xr:uid="{595E4245-5937-DC4B-9378-1FA0D00C0401}"/>
    <hyperlink ref="J117" r:id="rId1052" tooltip="Zakynthos International Airport, Greece" display="https://www.flightradar24.com/data/airports/zth" xr:uid="{98F02182-0DB9-0B4B-9935-4C06390C5FEA}"/>
    <hyperlink ref="K117" r:id="rId1053" tooltip="TUI" display="https://www.flightradar24.com/data/airlines/x3-tui" xr:uid="{35C43D1C-A2CC-624C-94FD-8AE5873A6A68}"/>
    <hyperlink ref="L117" r:id="rId1054" tooltip="OO-JAL" display="https://www.flightradar24.com/data/aircraft/oo-jal" xr:uid="{9ADAE40D-6497-1640-BD43-8564444ED9D2}"/>
    <hyperlink ref="J171" r:id="rId1055" tooltip="Amsterdam Schiphol Airport, Netherlands" display="https://www.flightradar24.com/data/airports/ams" xr:uid="{77ECFE70-DA7A-D94F-AE3A-4A3C6F9293FE}"/>
    <hyperlink ref="K171" r:id="rId1056" tooltip="KLM" display="https://www.flightradar24.com/data/airlines/kl-klm" xr:uid="{80EACDD2-116E-9240-AF46-72EFC3D91EF0}"/>
    <hyperlink ref="L171" r:id="rId1057" tooltip="PH-EXP" display="https://www.flightradar24.com/data/aircraft/ph-exp" xr:uid="{7F2B02C2-24ED-3541-BE9E-61A8CCE9949B}"/>
    <hyperlink ref="I120" r:id="rId1058" tooltip="XR7651" display="https://www.flightradar24.com/data/flights/xr7651" xr:uid="{B5AC4A94-665D-F84C-B00B-426D9490CB44}"/>
    <hyperlink ref="J120" r:id="rId1059" tooltip="Burgas Airport, Bulgaria" display="https://www.flightradar24.com/data/airports/boj" xr:uid="{F4009DD5-0FCD-4240-8248-E3382D3D3C7C}"/>
    <hyperlink ref="K120" r:id="rId1060" tooltip="Corendon Airlines" display="https://www.flightradar24.com/data/airlines/xc-cai" xr:uid="{7DD31738-B494-154E-9165-EB156FF01B0D}"/>
    <hyperlink ref="L120" r:id="rId1061" tooltip="9H-CXB" display="https://www.flightradar24.com/data/aircraft/9h-cxb" xr:uid="{444A390A-1597-EF4E-8BD5-E51551FE4FFC}"/>
    <hyperlink ref="J33" r:id="rId1062" tooltip="Budapest Ferenc Liszt International Airport, Hungary" display="https://www.flightradar24.com/data/airports/bud" xr:uid="{EBABC91A-AF8E-4C44-B193-93B8F7D37F79}"/>
    <hyperlink ref="K33" r:id="rId1063" tooltip="Brussels Airlines" display="https://www.flightradar24.com/data/airlines/sn-bel" xr:uid="{F0648EFD-3455-DB4E-A495-E2CAE2B00544}"/>
    <hyperlink ref="L33" r:id="rId1064" tooltip="OO-SSL" display="https://www.flightradar24.com/data/aircraft/oo-ssl" xr:uid="{3EBD20ED-8362-C74B-B0A8-5FC3E76162D3}"/>
    <hyperlink ref="I170" r:id="rId1065" tooltip="H5721" display="https://www.flightradar24.com/data/flights/h5721" xr:uid="{9CE7EF20-FD9C-0C42-8BFB-EABEC9B87F39}"/>
    <hyperlink ref="J170" r:id="rId1066" tooltip="Cannes Mandelieu Airport, France" display="https://www.flightradar24.com/data/airports/ceq" xr:uid="{2DC92499-04E5-5D44-8CAA-B2319D3FC480}"/>
    <hyperlink ref="K170" r:id="rId1067" tooltip="VistaJet" display="https://www.flightradar24.com/data/airlines/-vjt" xr:uid="{0176D256-C17B-FD45-984B-0321E42DDDEF}"/>
    <hyperlink ref="L170" r:id="rId1068" tooltip="D-AIRZ" display="https://www.flightradar24.com/data/aircraft/d-airz" xr:uid="{444FDF23-F043-C549-9EB2-3E26EB3AB396}"/>
    <hyperlink ref="I58" r:id="rId1069" tooltip="TB2661" display="https://www.flightradar24.com/data/flights/tb2661" xr:uid="{D7922339-64F7-3748-B640-E44C5D88E9DD}"/>
    <hyperlink ref="J58" r:id="rId1070" tooltip="Tangier Ibn Battouta Airport, Morocco" display="https://www.flightradar24.com/data/airports/tng" xr:uid="{482E2468-6F54-8748-B771-5618F76D5244}"/>
    <hyperlink ref="K58" r:id="rId1071" tooltip="Leav Aviation" display="https://www.flightradar24.com/data/airlines/kk-ngn" xr:uid="{5A98C070-FBA9-3146-A8F8-F5E5712B7A59}"/>
    <hyperlink ref="L58" r:id="rId1072" tooltip="D-ANNE" display="https://www.flightradar24.com/data/aircraft/d-anne" xr:uid="{3F62CC06-3B36-AE4C-82D2-1ABF092D7E0F}"/>
    <hyperlink ref="J144" r:id="rId1073" tooltip="Dubai International Airport, United Arab Emirates" display="https://www.flightradar24.com/data/airports/dxb" xr:uid="{C8631BDE-E155-C54E-8800-981878F064E0}"/>
    <hyperlink ref="K144" r:id="rId1074" tooltip="Emirates" display="https://www.flightradar24.com/data/airlines/ek-uae" xr:uid="{FF701868-029B-6B43-8595-2012CB520DB7}"/>
    <hyperlink ref="L144" r:id="rId1075" tooltip="A6-EQJ" display="https://www.flightradar24.com/data/aircraft/a6-eqj" xr:uid="{B721FC5B-EDC7-7A47-843A-1E666651A6E5}"/>
    <hyperlink ref="I125" r:id="rId1076" tooltip="FR1453" display="https://www.flightradar24.com/data/flights/fr1453" xr:uid="{606B1993-315C-7342-A2E3-49E4AA3B2251}"/>
    <hyperlink ref="J125" r:id="rId1077" tooltip="Dublin Airport, Ireland" display="https://www.flightradar24.com/data/airports/dub" xr:uid="{5D106FED-1694-6049-ABDF-924735C76724}"/>
    <hyperlink ref="K125" r:id="rId1078" tooltip="Ryanair" display="https://www.flightradar24.com/data/airlines/fr-ryr" xr:uid="{C12D6BED-E4DE-D04D-84FC-5BA3DC4B650A}"/>
    <hyperlink ref="L125" r:id="rId1079" tooltip="EI-EBY" display="https://www.flightradar24.com/data/aircraft/ei-eby" xr:uid="{B1CB9377-604A-5148-8968-1705696339AC}"/>
    <hyperlink ref="J31" r:id="rId1080" tooltip="Oslo Gardermoen Airport, Norway" display="https://www.flightradar24.com/data/airports/osl" xr:uid="{0F94CA94-12D5-0342-B00C-FC09DDF1109D}"/>
    <hyperlink ref="K31" r:id="rId1081" tooltip="Brussels Airlines" display="https://www.flightradar24.com/data/airlines/sn-bel" xr:uid="{9B9A8028-7D37-F444-976C-73DF4CD52B74}"/>
    <hyperlink ref="L31" r:id="rId1082" tooltip="OO-SSJ" display="https://www.flightradar24.com/data/aircraft/oo-ssj" xr:uid="{D3492619-E3A5-2B4E-8C07-ADFE5E554EFE}"/>
    <hyperlink ref="J43" r:id="rId1083" tooltip="Warsaw Chopin Airport, Poland" display="https://www.flightradar24.com/data/airports/waw" xr:uid="{29A424CD-8271-EA49-9735-C7E5846506E2}"/>
    <hyperlink ref="K43" r:id="rId1084" tooltip="Brussels Airlines" display="https://www.flightradar24.com/data/airlines/sn-bel" xr:uid="{FF5FB335-DEC0-6E4B-8E1C-6CC58C59DAF5}"/>
    <hyperlink ref="L43" r:id="rId1085" tooltip="OO-SSU" display="https://www.flightradar24.com/data/aircraft/oo-ssu" xr:uid="{3F805078-2B88-7444-A06A-0817D055E7F7}"/>
    <hyperlink ref="I131" r:id="rId1086" tooltip="TB1551" display="https://www.flightradar24.com/data/flights/tb1551" xr:uid="{A88AABED-15AF-7549-BB33-96654D186172}"/>
    <hyperlink ref="J131" r:id="rId1087" tooltip="Gran Canaria Airport, Spain" display="https://www.flightradar24.com/data/airports/lpa" xr:uid="{354A5CE1-9CC9-1E4D-AA63-EE119A694B13}"/>
    <hyperlink ref="K131" r:id="rId1088" tooltip="TUI" display="https://www.flightradar24.com/data/airlines/x3-tui" xr:uid="{CA092DA0-AE6A-6349-9FAE-4E54DE58D250}"/>
    <hyperlink ref="L131" r:id="rId1089" tooltip="OO-TUV" display="https://www.flightradar24.com/data/aircraft/oo-tuv" xr:uid="{4836E213-58EC-6941-9382-F4A96AFC9AC9}"/>
    <hyperlink ref="I68" r:id="rId1090" tooltip="TB2951" display="https://www.flightradar24.com/data/flights/tb2951" xr:uid="{1DEE2A14-9003-7041-8E46-58B2FD5AABC3}"/>
    <hyperlink ref="J68" r:id="rId1091" tooltip="Tirana International Airport, Albania" display="https://www.flightradar24.com/data/airports/tia" xr:uid="{63FAA96F-B1F2-8F41-81D9-4DC377163B2D}"/>
    <hyperlink ref="K68" r:id="rId1092" tooltip="SmartLynx" display="https://www.flightradar24.com/data/airlines/6y-art" xr:uid="{8A584B36-5C30-0640-A032-155AC76520C9}"/>
    <hyperlink ref="L68" r:id="rId1093" tooltip="ES-SAW" display="https://www.flightradar24.com/data/aircraft/es-saw" xr:uid="{65F05965-3130-CD4B-8A1C-5ABFEFC82E07}"/>
    <hyperlink ref="I64" r:id="rId1094" tooltip="VY1471" display="https://www.flightradar24.com/data/flights/vy1471" xr:uid="{AA62629D-CFF5-4F41-BC66-79FDF49BBF11}"/>
    <hyperlink ref="J64" r:id="rId1095" tooltip="Bilbao Airport, Spain" display="https://www.flightradar24.com/data/airports/bio" xr:uid="{2B79FBF5-997A-264B-A3F1-677EF6EE6D77}"/>
    <hyperlink ref="K64" r:id="rId1096" tooltip="Vueling" display="https://www.flightradar24.com/data/airlines/vy-vlg" xr:uid="{53F09466-631F-C543-A26E-3EA3CEF7EEC3}"/>
    <hyperlink ref="L64" r:id="rId1097" tooltip="EC-MXG" display="https://www.flightradar24.com/data/aircraft/ec-mxg" xr:uid="{9C992167-7F48-994D-B79B-5D667B71F1B1}"/>
    <hyperlink ref="I47" r:id="rId1098" tooltip="A3539" display="https://www.flightradar24.com/data/flights/a3539" xr:uid="{96CF279B-CF8A-1246-81F6-6883E238480F}"/>
    <hyperlink ref="J47" r:id="rId1099" tooltip="Thessaloniki International Airport, Greece" display="https://www.flightradar24.com/data/airports/skg" xr:uid="{BF1F785A-B8D8-254C-8ADF-B18E0C9BD972}"/>
    <hyperlink ref="K47" r:id="rId1100" tooltip="Aegean Airlines" display="https://www.flightradar24.com/data/airlines/a3-aee" xr:uid="{4D1EFC6D-D339-4943-A83F-1C56BFDE6884}"/>
    <hyperlink ref="J76" r:id="rId1101" tooltip="Vienna International Airport, Austria" display="https://www.flightradar24.com/data/airports/vie" xr:uid="{9ABD38E9-1929-6447-BD7B-10686E88BBE4}"/>
    <hyperlink ref="K76" r:id="rId1102" tooltip="Brussels Airlines (Tintin comics Livery)" display="https://www.flightradar24.com/data/airlines/sn-bel" xr:uid="{01D40C86-E69E-2F48-9A34-164C1A8910F8}"/>
    <hyperlink ref="L76" r:id="rId1103" tooltip="OO-SNB" display="https://www.flightradar24.com/data/aircraft/oo-snb" xr:uid="{B27279F3-C663-014A-8BBA-B1BEED45A1F0}"/>
    <hyperlink ref="I69" r:id="rId1104" tooltip="TB2327" display="https://www.flightradar24.com/data/flights/tb2327" xr:uid="{A146543B-EFB1-044A-949D-1189CAD92D28}"/>
    <hyperlink ref="J69" r:id="rId1105" tooltip="Mytilene International Airport, Greece" display="https://www.flightradar24.com/data/airports/mjt" xr:uid="{92D25A76-F2AB-1747-9F9A-932AE53E305D}"/>
    <hyperlink ref="K69" r:id="rId1106" tooltip="SmartLynx" display="https://www.flightradar24.com/data/airlines/6y-art" xr:uid="{6AABA78E-1905-ED4D-ADEC-88B0170BD630}"/>
    <hyperlink ref="L69" r:id="rId1107" tooltip="ES-SAX" display="https://www.flightradar24.com/data/aircraft/es-sax" xr:uid="{4B77A049-DF2B-A440-9547-45A854D2DB54}"/>
    <hyperlink ref="I156" r:id="rId1108" tooltip="AZ149" display="https://www.flightradar24.com/data/flights/az149" xr:uid="{235A082D-4FDE-3E4A-AF31-EAA645BC7D23}"/>
    <hyperlink ref="J156" r:id="rId1109" tooltip="Milan Linate Airport, Italy" display="https://www.flightradar24.com/data/airports/lin" xr:uid="{543B2B05-CF9D-8C4C-97D2-505E03288FAF}"/>
    <hyperlink ref="K156" r:id="rId1110" tooltip="ITA Airways" display="https://www.flightradar24.com/data/airlines/az-ity" xr:uid="{9759D83A-33DF-EB4B-8662-8033652DCEB3}"/>
    <hyperlink ref="L156" r:id="rId1111" tooltip="EI-HHP" display="https://www.flightradar24.com/data/aircraft/ei-hhp" xr:uid="{C15AE423-4234-0C48-A685-52AFBB722F5B}"/>
    <hyperlink ref="J28" r:id="rId1112" tooltip="Gothenburg Landvetter Airport, Sweden" display="https://www.flightradar24.com/data/airports/got" xr:uid="{091530C6-EFEF-E645-A9FF-062674607F36}"/>
    <hyperlink ref="K28" r:id="rId1113" tooltip="Brussels Airlines" display="https://www.flightradar24.com/data/airlines/sn-bel" xr:uid="{B9DBC3A7-35C1-AC48-84E9-190014698034}"/>
    <hyperlink ref="L28" r:id="rId1114" tooltip="OO-SSB" display="https://www.flightradar24.com/data/aircraft/oo-ssb" xr:uid="{429CEE31-C84F-1F4C-BD82-D2BC28FB68A5}"/>
    <hyperlink ref="I97" r:id="rId1115" tooltip="FH8067" display="https://www.flightradar24.com/data/flights/fh8067" xr:uid="{5C9FC7CE-1976-A146-BB26-E9BE1EBB3F82}"/>
    <hyperlink ref="J97" r:id="rId1116" tooltip="Bodrum Milas Airport, Turkey" display="https://www.flightradar24.com/data/airports/bjv" xr:uid="{A1870C77-4A55-D644-A509-525D599EA393}"/>
    <hyperlink ref="K97" r:id="rId1117" tooltip="Freebird Airlines" display="https://www.flightradar24.com/data/airlines/fh-fhy" xr:uid="{00E735BE-33FF-9848-AB3A-413F9AD3BEC7}"/>
    <hyperlink ref="L97" r:id="rId1118" tooltip="TC-FBO" display="https://www.flightradar24.com/data/aircraft/tc-fbo" xr:uid="{C1C6EEEC-2011-004C-B4AF-89E935AD2CE6}"/>
    <hyperlink ref="I132" r:id="rId1119" tooltip="HV9009" display="https://www.flightradar24.com/data/flights/hv9009" xr:uid="{7EEFC9A5-A2B6-444F-9519-32548FAC6F52}"/>
    <hyperlink ref="J132" r:id="rId1120" tooltip="Ibiza Airport, Spain" display="https://www.flightradar24.com/data/airports/ibz" xr:uid="{3F151D6F-D88D-6F40-BA80-78427EA66F5D}"/>
    <hyperlink ref="K132" r:id="rId1121" tooltip="Transavia" display="https://www.flightradar24.com/data/airlines/hv-tra" xr:uid="{1B5529E6-28A9-564D-B809-D268E7C15F02}"/>
    <hyperlink ref="L132" r:id="rId1122" tooltip="PH-HSB" display="https://www.flightradar24.com/data/aircraft/ph-hsb" xr:uid="{45DD7F4B-0ED8-F249-B606-4CC8CB36E536}"/>
    <hyperlink ref="J5" r:id="rId1123" tooltip="Copenhagen Airport, Denmark" display="https://www.flightradar24.com/data/airports/cph" xr:uid="{C81ED00B-AECF-6141-8299-6BD9288215BC}"/>
    <hyperlink ref="K5" r:id="rId1124" tooltip="SAS" display="https://www.flightradar24.com/data/airlines/sk-sas" xr:uid="{F2EC0B33-5843-AC46-8747-4287A2244EC5}"/>
    <hyperlink ref="L5" r:id="rId1125" tooltip="LN-RGM" display="https://www.flightradar24.com/data/aircraft/ln-rgm" xr:uid="{6571DD71-DFCE-144E-89CB-21D3A2AE892F}"/>
    <hyperlink ref="I128" r:id="rId1126" tooltip="TB3407" display="https://www.flightradar24.com/data/flights/tb3407" xr:uid="{77AE1A60-8173-8D45-9F01-06B634EE93D3}"/>
    <hyperlink ref="J128" r:id="rId1127" tooltip="Algiers Houari Boumediene Airport, Algeria" display="https://www.flightradar24.com/data/airports/alg" xr:uid="{00D30060-F726-864B-BBB2-A5B066307D3B}"/>
    <hyperlink ref="K128" r:id="rId1128" tooltip="TUI (Family Life Hotels Livery)" display="https://www.flightradar24.com/data/airlines/x3-tui" xr:uid="{4CBCDF73-04A3-564D-B4B2-6254CE8C983F}"/>
    <hyperlink ref="L128" r:id="rId1129" tooltip="OO-JAF" display="https://www.flightradar24.com/data/aircraft/oo-jaf" xr:uid="{92764EDC-E627-0147-B5BA-7C4874C419FE}"/>
    <hyperlink ref="J19" r:id="rId1130" tooltip="Lisbon Humberto Delgado Airport, Portugal" display="https://www.flightradar24.com/data/airports/lis" xr:uid="{E7C9EF0A-03C3-F447-9896-D84D0E50FE33}"/>
    <hyperlink ref="K19" r:id="rId1131" tooltip="TAP Air Portugal" display="https://www.flightradar24.com/data/airlines/tp-tap" xr:uid="{DF383C0F-8C99-D94B-B4A5-55B0F95F14FB}"/>
    <hyperlink ref="L19" r:id="rId1132" tooltip="CS-TTP" display="https://www.flightradar24.com/data/aircraft/cs-ttp" xr:uid="{90B237AC-0071-B141-AAE3-EDF39121D513}"/>
    <hyperlink ref="I133" r:id="rId1133" tooltip="HV9033" display="https://www.flightradar24.com/data/flights/hv9033" xr:uid="{B5A641D0-2342-7547-BA12-C6515BBC99A5}"/>
    <hyperlink ref="J133" r:id="rId1134" tooltip="Malaga Costa Del Sol Airport, Spain" display="https://www.flightradar24.com/data/airports/agp" xr:uid="{4A27BD87-AE1B-EC44-B163-6AA01F04D30D}"/>
    <hyperlink ref="K133" r:id="rId1135" tooltip="Transavia" display="https://www.flightradar24.com/data/airlines/hv-tra" xr:uid="{536600D4-F27F-F24A-AF6F-3382C79DC2CA}"/>
    <hyperlink ref="L133" r:id="rId1136" tooltip="PH-HXM" display="https://www.flightradar24.com/data/aircraft/ph-hxm" xr:uid="{F5BE0E23-7A7E-234C-B924-9D0DFEF6BB03}"/>
    <hyperlink ref="J134" r:id="rId1137" tooltip="Cairo International Airport, Egypt" display="https://www.flightradar24.com/data/airports/cai" xr:uid="{ED154C6C-557E-2A49-A89C-FA6E92830CDC}"/>
    <hyperlink ref="K134" r:id="rId1138" tooltip="Egyptair" display="https://www.flightradar24.com/data/airlines/ms-msr" xr:uid="{D01D172D-21CE-3947-AFC2-65CC236992A6}"/>
    <hyperlink ref="L134" r:id="rId1139" tooltip="SU-GED" display="https://www.flightradar24.com/data/aircraft/su-ged" xr:uid="{1F0D0D07-8192-5749-8D40-F3F1B8AB2F33}"/>
    <hyperlink ref="I80" r:id="rId1140" tooltip="SN3737" display="https://www.flightradar24.com/data/flights/sn3737" xr:uid="{F2D33066-6768-994C-A4ED-63C608CE88DB}"/>
    <hyperlink ref="J80" r:id="rId1141" tooltip="Malaga Costa Del Sol Airport, Spain" display="https://www.flightradar24.com/data/airports/agp" xr:uid="{D3CB1BFE-9B60-194F-B1CE-1A53044BE2DF}"/>
    <hyperlink ref="K80" r:id="rId1142" tooltip="Brussels Airlines" display="https://www.flightradar24.com/data/airlines/sn-bel" xr:uid="{379AC830-C5AE-4B46-920D-8D0D817A9496}"/>
    <hyperlink ref="L80" r:id="rId1143" tooltip="OO-SNH" display="https://www.flightradar24.com/data/aircraft/oo-snh" xr:uid="{AD572235-280E-9749-82FE-1182B2F3DF13}"/>
    <hyperlink ref="J20" r:id="rId1144" tooltip="Munich Airport, Germany" display="https://www.flightradar24.com/data/airports/muc" xr:uid="{4FB2D078-AB23-814F-8149-BB29FAC211A8}"/>
    <hyperlink ref="K20" r:id="rId1145" tooltip="Lufthansa" display="https://www.flightradar24.com/data/airlines/lh-dlh" xr:uid="{EA96E173-A1DA-BD4C-8412-F25181D76488}"/>
    <hyperlink ref="L20" r:id="rId1146" tooltip="D-AIBF" display="https://www.flightradar24.com/data/aircraft/d-aibf" xr:uid="{AD486895-C5DC-A84C-A578-C75F74544ED4}"/>
    <hyperlink ref="J79" r:id="rId1147" tooltip="Berlin Brandenburg Airport, Germany" display="https://www.flightradar24.com/data/airports/ber" xr:uid="{2EE2B98C-9EF9-234B-B37C-C0A0FE6D81C0}"/>
    <hyperlink ref="K79" r:id="rId1148" tooltip="Brussels Airlines" display="https://www.flightradar24.com/data/airlines/sn-bel" xr:uid="{DF075B80-5FFA-B94B-9ECC-63F5303BC8EC}"/>
    <hyperlink ref="L79" r:id="rId1149" tooltip="OO-SNF" display="https://www.flightradar24.com/data/aircraft/oo-snf" xr:uid="{7D9FF360-4E1E-EA4C-88F3-89974C2FA3AC}"/>
    <hyperlink ref="J37" r:id="rId1150" tooltip="Prague Vaclav Havel Airport, Czechia" display="https://www.flightradar24.com/data/airports/prg" xr:uid="{AE01C890-FFE5-044E-B26A-7696DED98535}"/>
    <hyperlink ref="K37" r:id="rId1151" tooltip="Brussels Airlines" display="https://www.flightradar24.com/data/airlines/sn-bel" xr:uid="{AE917BB7-9C71-854A-B5CB-BCBE255546D8}"/>
    <hyperlink ref="L37" r:id="rId1152" tooltip="OO-SSO" display="https://www.flightradar24.com/data/aircraft/oo-sso" xr:uid="{19261106-78A4-DB4F-8066-0A71E7B5B9B0}"/>
    <hyperlink ref="I84" r:id="rId1153" tooltip="SN3149" display="https://www.flightradar24.com/data/flights/sn3149" xr:uid="{C567DDEF-B59E-364B-9559-4C83ABE6C5D6}"/>
    <hyperlink ref="J84" r:id="rId1154" tooltip="Milan Linate Airport, Italy" display="https://www.flightradar24.com/data/airports/lin" xr:uid="{3CFFAE97-F8FA-7648-8081-16B7BE4A75DD}"/>
    <hyperlink ref="K84" r:id="rId1155" tooltip="Brussels Airlines" display="https://www.flightradar24.com/data/airlines/sn-bel" xr:uid="{3CD3898E-0D57-D046-BAC6-06ACDAD80BD0}"/>
    <hyperlink ref="L84" r:id="rId1156" tooltip="OO-SNL" display="https://www.flightradar24.com/data/aircraft/oo-snl" xr:uid="{ECD94601-6128-574A-AB60-D51AD556030C}"/>
    <hyperlink ref="J147" r:id="rId1157" tooltip="Doha Hamad International Airport, Qatar" display="https://www.flightradar24.com/data/airports/doh" xr:uid="{18CC9486-2B37-2146-8079-06200B471423}"/>
    <hyperlink ref="K147" r:id="rId1158" tooltip="Qatar Airways" display="https://www.flightradar24.com/data/airlines/qr-qtr" xr:uid="{A32C6C82-1747-6844-B758-3BBA93A90B01}"/>
    <hyperlink ref="L147" r:id="rId1159" tooltip="A7-BDD" display="https://www.flightradar24.com/data/aircraft/a7-bdd" xr:uid="{199F4519-2937-D544-8BE1-C0CFEAFB1864}"/>
    <hyperlink ref="I72" r:id="rId1160" tooltip="U21748" display="https://www.flightradar24.com/data/flights/u21748" xr:uid="{017B97B1-0E91-C547-8F16-0CB6E17A0ABA}"/>
    <hyperlink ref="J72" r:id="rId1161" tooltip="Nice Cote d'Azur Airport, France" display="https://www.flightradar24.com/data/airports/nce" xr:uid="{251D56BF-5B64-9E4D-9F23-806E1414EC64}"/>
    <hyperlink ref="K72" r:id="rId1162" tooltip="easyJet" display="https://www.flightradar24.com/data/airlines/u2-ezy" xr:uid="{7D9ECADC-8D40-4744-A0AE-5B6382014C82}"/>
    <hyperlink ref="L72" r:id="rId1163" tooltip="OE-IJR" display="https://www.flightradar24.com/data/aircraft/oe-ijr" xr:uid="{C7318734-32C3-D14D-9A5A-DC08FF982FDC}"/>
    <hyperlink ref="J7" r:id="rId1164" tooltip="London Heathrow Airport, United Kingdom" display="https://www.flightradar24.com/data/airports/lhr" xr:uid="{12438183-9217-B742-9246-F53FFD515AB8}"/>
    <hyperlink ref="K7" r:id="rId1165" tooltip="Brussels Airlines (Amare Tomorrowland Livery)" display="https://www.flightradar24.com/data/airlines/sn-bel" xr:uid="{E4936770-1C2A-4D4A-A3A9-01443CD52277}"/>
    <hyperlink ref="L7" r:id="rId1166" tooltip="OO-SBB" display="https://www.flightradar24.com/data/aircraft/oo-sbb" xr:uid="{B1ACDA82-D1FC-9944-9F9B-A8B6AB846A96}"/>
    <hyperlink ref="J95" r:id="rId1167" tooltip="Lisbon Humberto Delgado Airport, Portugal" display="https://www.flightradar24.com/data/airports/lis" xr:uid="{6D941BFE-B4CC-F242-B171-0BDF58C4999F}"/>
    <hyperlink ref="K95" r:id="rId1168" tooltip="Brussels Airlines (Yes to Europe Livery)" display="https://www.flightradar24.com/data/airlines/sn-bel" xr:uid="{7F6FFD71-A83F-B840-927E-130D7EC275FF}"/>
    <hyperlink ref="L95" r:id="rId1169" tooltip="OO-TCV" display="https://www.flightradar24.com/data/aircraft/oo-tcv" xr:uid="{6FAEFF73-74BC-C743-A63B-8FEEADA56AB9}"/>
    <hyperlink ref="I39" r:id="rId1170" tooltip="SN2627" display="https://www.flightradar24.com/data/flights/sn2627" xr:uid="{F6B75A42-184A-7242-A678-98F57BA20D2A}"/>
    <hyperlink ref="J39" r:id="rId1171" tooltip="Hamburg Airport, Germany" display="https://www.flightradar24.com/data/airports/ham" xr:uid="{0EF86DA7-D888-4B4E-A5B9-3A96E7667DCD}"/>
    <hyperlink ref="K39" r:id="rId1172" tooltip="Brussels Airlines" display="https://www.flightradar24.com/data/airlines/sn-bel" xr:uid="{B45DFE17-3A29-9644-8FF2-ECA7BE16076F}"/>
    <hyperlink ref="L39" r:id="rId1173" tooltip="OO-SSQ" display="https://www.flightradar24.com/data/aircraft/oo-ssq" xr:uid="{DFD7D6CA-6B55-1E4B-B33E-D4EA51EBDA83}"/>
    <hyperlink ref="I160" r:id="rId1174" display="https://www.flightradar24.com/data/flights/" xr:uid="{B2AD31A5-227E-AC45-A86D-D7E59754A1EC}"/>
    <hyperlink ref="J160" r:id="rId1175" tooltip="Genoa Cristoforo Colombo Airport, Italy" display="https://www.flightradar24.com/data/airports/goa" xr:uid="{B104543F-EF91-E945-A1B5-36CC8B2B6A4A}"/>
    <hyperlink ref="K160" r:id="rId1176" tooltip="GlobeAir" display="https://www.flightradar24.com/data/airlines/-gac" xr:uid="{49A486B3-88C0-DC43-B24C-475A50E44A48}"/>
    <hyperlink ref="L160" r:id="rId1177" tooltip="OE-FWF" display="https://www.flightradar24.com/data/aircraft/oe-fwf" xr:uid="{FF4C0859-6B8B-8F48-815E-3DD353FCA4AB}"/>
    <hyperlink ref="J136" r:id="rId1178" tooltip="Izmir Adnan Menderes International Airport, Turkey" display="https://www.flightradar24.com/data/airports/adb" xr:uid="{AEA9B789-3750-B44D-9839-9224415DC6A4}"/>
    <hyperlink ref="K136" r:id="rId1179" tooltip="SunExpress" display="https://www.flightradar24.com/data/airlines/xq-sxs" xr:uid="{930F291D-BFDD-8F45-8691-319DC4EA6CE4}"/>
    <hyperlink ref="L136" r:id="rId1180" tooltip="TC-SPA" display="https://www.flightradar24.com/data/aircraft/tc-spa" xr:uid="{3439EAA1-1B16-9245-A4DF-5BF3EA3AD4EE}"/>
    <hyperlink ref="J138" r:id="rId1181" tooltip="Antalya Airport, Turkey" display="https://www.flightradar24.com/data/airports/ayt" xr:uid="{50A4FD66-D6B8-E847-B3EA-845A4923852F}"/>
    <hyperlink ref="K138" r:id="rId1182" tooltip="SunExpress" display="https://www.flightradar24.com/data/airlines/xq-sxs" xr:uid="{D17D4F1F-6364-CB44-990E-F4B56A08A96F}"/>
    <hyperlink ref="L138" r:id="rId1183" tooltip="TC-SPJ" display="https://www.flightradar24.com/data/aircraft/tc-spj" xr:uid="{A148D492-A8E1-3546-8F10-34B237693809}"/>
    <hyperlink ref="I66" r:id="rId1184" tooltip="TB2941" display="https://www.flightradar24.com/data/flights/tb2941" xr:uid="{1AC54F75-955D-124B-A08C-23BC005F1588}"/>
    <hyperlink ref="J66" r:id="rId1185" tooltip="Pristina Adem Jashari International Airport, Kosovo" display="https://www.flightradar24.com/data/airports/prn" xr:uid="{CF64B52F-58C6-3A41-A90F-77E7C01DF50E}"/>
    <hyperlink ref="K66" r:id="rId1186" tooltip="SmartLynx" display="https://www.flightradar24.com/data/airlines/6y-art" xr:uid="{D24B6D5C-AECB-B340-8481-529E5EC80807}"/>
    <hyperlink ref="L66" r:id="rId1187" tooltip="ES-SAA" display="https://www.flightradar24.com/data/aircraft/es-saa" xr:uid="{76B090CE-2E64-7B42-80D7-E4022016D53F}"/>
    <hyperlink ref="I99" r:id="rId1188" tooltip="BJ397" display="https://www.flightradar24.com/data/flights/bj397" xr:uid="{BDC79646-2ABA-5448-8853-DB77CF84FDF7}"/>
    <hyperlink ref="J99" r:id="rId1189" tooltip="Tunis Carthage International Airport, Tunisia" display="https://www.flightradar24.com/data/airports/tun" xr:uid="{3DB973A3-0F4F-7245-A034-7A2E69F2E7AC}"/>
    <hyperlink ref="K99" r:id="rId1190" tooltip="Nouvelair" display="https://www.flightradar24.com/data/airlines/bj-lbt" xr:uid="{040FAA99-4C3A-0345-B67D-3FB5FD216D97}"/>
    <hyperlink ref="L99" r:id="rId1191" tooltip="TS-INO" display="https://www.flightradar24.com/data/aircraft/ts-ino" xr:uid="{AB0E11B9-2BE7-E94E-86BB-273D7F1378D4}"/>
    <hyperlink ref="J89" r:id="rId1192" tooltip="Rome Leonardo da Vinci Fiumicino Airport, Italy" display="https://www.flightradar24.com/data/airports/fco" xr:uid="{91D6FD1E-A6AA-D44F-A950-5910A2A00B96}"/>
    <hyperlink ref="K89" r:id="rId1193" tooltip="Brussels Airlines (Star Alliance Livery)" display="https://www.flightradar24.com/data/airlines/sn-bel" xr:uid="{23583A7A-0761-2345-BBF5-40C3484B5E04}"/>
    <hyperlink ref="L89" r:id="rId1194" tooltip="OO-SNP" display="https://www.flightradar24.com/data/aircraft/oo-snp" xr:uid="{ED97B742-5220-BC4D-86BA-B60F3520F778}"/>
    <hyperlink ref="I122" r:id="rId1195" tooltip="AT833" display="https://www.flightradar24.com/data/flights/at833" xr:uid="{90F5239C-EC7E-D940-9BE2-D927120BC80C}"/>
    <hyperlink ref="J122" r:id="rId1196" tooltip="Casablanca Mohammed V International Airport, Morocco" display="https://www.flightradar24.com/data/airports/cmn" xr:uid="{740F8A1F-3770-0142-8F3B-9DB1727ACED8}"/>
    <hyperlink ref="K122" r:id="rId1197" tooltip="Royal Air Maroc" display="https://www.flightradar24.com/data/airlines/at-ram" xr:uid="{02BE24CD-27FD-404B-9008-DB32A50CF332}"/>
    <hyperlink ref="L122" r:id="rId1198" tooltip="CN-RGW" display="https://www.flightradar24.com/data/aircraft/cn-rgw" xr:uid="{A807840D-6CF2-6A4B-BFDD-B507D98589E5}"/>
    <hyperlink ref="J51" r:id="rId1199" tooltip="Munich Airport, Germany" display="https://www.flightradar24.com/data/airports/muc" xr:uid="{29072E23-F4BA-854F-9B3E-BD9A0A0903F0}"/>
    <hyperlink ref="K51" r:id="rId1200" tooltip="Brussels Airlines (Star Alliance Livery)" display="https://www.flightradar24.com/data/airlines/sn-bel" xr:uid="{30ADB678-02C0-E347-A446-7EA29CB2114A}"/>
    <hyperlink ref="L51" r:id="rId1201" tooltip="OO-SSY" display="https://www.flightradar24.com/data/aircraft/oo-ssy" xr:uid="{5BC30EE3-7FD5-6044-BA98-4073EE43DD6A}"/>
    <hyperlink ref="J104" r:id="rId1202" tooltip="Istanbul Airport, Turkey" display="https://www.flightradar24.com/data/airports/ist" xr:uid="{26F91F95-767D-AB49-A464-E15FC303B4A4}"/>
    <hyperlink ref="K104" r:id="rId1203" tooltip="Turkish Airlines" display="https://www.flightradar24.com/data/airlines/tk-thy" xr:uid="{A79C6D13-F329-2248-9F44-30407D85D8E3}"/>
    <hyperlink ref="L104" r:id="rId1204" tooltip="TC-JTR" display="https://www.flightradar24.com/data/aircraft/tc-jtr" xr:uid="{FB48135F-B7EB-A541-9B57-47932E3180D9}"/>
    <hyperlink ref="I172" r:id="rId1205" tooltip="UNI132" display="https://www.flightradar24.com/data/flights/uni132" xr:uid="{10919D1C-6988-014B-8D25-CAE41814D7E2}"/>
    <hyperlink ref="J172" r:id="rId1206" tooltip="Cologne Bonn Airport, Germany" display="https://www.flightradar24.com/data/airports/cgn" xr:uid="{90DE3ACD-3226-4845-BFFD-5C4A3A7EBBE1}"/>
    <hyperlink ref="K172" r:id="rId1207" tooltip="Unicair" display="https://www.flightradar24.com/data/airlines/-uni" xr:uid="{58B5C629-0095-0E42-9AEB-8A384F173596}"/>
    <hyperlink ref="L172" r:id="rId1208" tooltip="D-CICU" display="https://www.flightradar24.com/data/aircraft/d-cicu" xr:uid="{D4AD2684-A95B-1442-BB0B-D61FCB283248}"/>
    <hyperlink ref="I173" r:id="rId1209" display="https://www.flightradar24.com/data/flights/" xr:uid="{7DB953A7-0AB8-6C47-94EC-7DFE0B1B7143}"/>
    <hyperlink ref="J173" r:id="rId1210" tooltip="Luxembourg Findel Airport, Luxembourg" display="https://www.flightradar24.com/data/airports/lux" xr:uid="{6CF62BE9-E997-E943-AB9E-B8F5E96098B7}"/>
    <hyperlink ref="K173" r:id="rId1211" tooltip="Luxembourg Air Ambulance" display="https://www.flightradar24.com/data/airlines/-lrq" xr:uid="{D31918DC-C644-2342-AA2D-EB06AADA911D}"/>
    <hyperlink ref="L173" r:id="rId1212" tooltip="LX-TWO" display="https://www.flightradar24.com/data/aircraft/lx-two" xr:uid="{75880DB6-B612-F546-98BE-2A11A3C79B31}"/>
    <hyperlink ref="I145" r:id="rId1213" tooltip="EK182" display="https://www.flightradar24.com/data/flights/ek182" xr:uid="{8573655B-0B52-FE41-9705-CFCBD7D45F14}"/>
    <hyperlink ref="J145" r:id="rId1214" tooltip="Dubai International Airport, United Arab Emirates" display="https://www.flightradar24.com/data/airports/dxb" xr:uid="{D3CDCBD1-90BA-704E-95DB-DFD795830789}"/>
    <hyperlink ref="K145" r:id="rId1215" tooltip="Emirates" display="https://www.flightradar24.com/data/airlines/ek-uae" xr:uid="{267D09C0-801A-4443-A8C5-D914D5ECC5B3}"/>
    <hyperlink ref="L145" r:id="rId1216" tooltip="A6-EQL" display="https://www.flightradar24.com/data/aircraft/a6-eql" xr:uid="{B315B58E-C8E9-CA41-888C-A88266C7B7DB}"/>
    <hyperlink ref="L47" r:id="rId1217" tooltip="OO-SSX" display="https://www.flightradar24.com/data/aircraft/oo-ssx" xr:uid="{2D9EFD17-2A81-CC41-910F-8A1B84052314}"/>
    <hyperlink ref="L86" r:id="rId1218" xr:uid="{FB771A4B-70A3-1C46-8712-11FE2E3D36FF}"/>
    <hyperlink ref="L35" r:id="rId1219" tooltip="OO-SSN" display="https://www.flightradar24.com/data/aircraft/oo-ssn" xr:uid="{8F2CFADC-D076-EF4C-98B2-949B8B7C932D}"/>
    <hyperlink ref="K35" r:id="rId1220" tooltip="Brussels Airlines" display="https://www.flightradar24.com/data/airlines/sn-bel" xr:uid="{9C391DA5-EE94-C940-BBF6-D96EC1D103B9}"/>
    <hyperlink ref="J35" r:id="rId1221" tooltip="Geneva International Airport, Switzerland" display="https://www.flightradar24.com/data/airports/gva" xr:uid="{B363FE62-1F7F-EA4F-BEA6-CF0B6468693D}"/>
  </hyperlinks>
  <pageMargins left="0.7" right="0.7" top="0.75" bottom="0.75" header="0.3" footer="0.3"/>
  <drawing r:id="rId122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5368AF75-709B-A844-BAF9-C7218CA5FD06}">
            <xm:f>NOT(ISERROR(SEARCH("-",N3)))</xm:f>
            <xm:f>"-"</xm:f>
            <x14:dxf>
              <font>
                <color rgb="FF00B050"/>
              </font>
            </x14:dxf>
          </x14:cfRule>
          <xm:sqref>N273:O391 R273:R391 R3:S3 S4:S272 R4:R177 N3:O177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378C-A1FF-D14F-8D70-F411801B08C7}">
  <sheetPr codeName="Sheet2"/>
  <dimension ref="A1:D151"/>
  <sheetViews>
    <sheetView zoomScale="90" zoomScaleNormal="90" workbookViewId="0">
      <selection activeCell="E19" sqref="E19"/>
    </sheetView>
  </sheetViews>
  <sheetFormatPr baseColWidth="10" defaultRowHeight="16" x14ac:dyDescent="0.2"/>
  <cols>
    <col min="1" max="1" width="11.83203125" customWidth="1"/>
    <col min="2" max="2" width="8.33203125" customWidth="1"/>
    <col min="3" max="3" width="30.6640625" customWidth="1"/>
    <col min="4" max="4" width="17.1640625" style="3" customWidth="1"/>
  </cols>
  <sheetData>
    <row r="1" spans="1:4" ht="19" x14ac:dyDescent="0.25">
      <c r="A1" s="1" t="s">
        <v>0</v>
      </c>
      <c r="B1" s="1" t="s">
        <v>1</v>
      </c>
      <c r="C1" s="1" t="s">
        <v>2</v>
      </c>
      <c r="D1" s="1" t="s">
        <v>841</v>
      </c>
    </row>
    <row r="2" spans="1:4" x14ac:dyDescent="0.2">
      <c r="A2" s="2" t="s">
        <v>3</v>
      </c>
      <c r="B2" s="2" t="s">
        <v>4</v>
      </c>
      <c r="C2" s="2" t="s">
        <v>5</v>
      </c>
      <c r="D2" s="3" t="s">
        <v>6</v>
      </c>
    </row>
    <row r="3" spans="1:4" x14ac:dyDescent="0.2">
      <c r="A3" s="2" t="s">
        <v>7</v>
      </c>
      <c r="B3" s="2" t="s">
        <v>4</v>
      </c>
      <c r="C3" s="2" t="s">
        <v>8</v>
      </c>
      <c r="D3" s="3">
        <v>19.2</v>
      </c>
    </row>
    <row r="4" spans="1:4" x14ac:dyDescent="0.2">
      <c r="A4" s="2" t="s">
        <v>9</v>
      </c>
      <c r="B4" s="2" t="s">
        <v>4</v>
      </c>
      <c r="C4" s="2" t="s">
        <v>5</v>
      </c>
      <c r="D4" s="3" t="s">
        <v>6</v>
      </c>
    </row>
    <row r="5" spans="1:4" x14ac:dyDescent="0.2">
      <c r="A5" s="2" t="s">
        <v>10</v>
      </c>
      <c r="B5" s="2" t="s">
        <v>4</v>
      </c>
      <c r="C5" s="2" t="s">
        <v>8</v>
      </c>
      <c r="D5" s="3">
        <v>19.2</v>
      </c>
    </row>
    <row r="6" spans="1:4" x14ac:dyDescent="0.2">
      <c r="A6" s="2" t="s">
        <v>11</v>
      </c>
      <c r="B6" s="2" t="s">
        <v>4</v>
      </c>
      <c r="C6" s="2" t="s">
        <v>5</v>
      </c>
      <c r="D6" s="3" t="s">
        <v>6</v>
      </c>
    </row>
    <row r="7" spans="1:4" x14ac:dyDescent="0.2">
      <c r="A7" s="2" t="s">
        <v>12</v>
      </c>
      <c r="B7" s="2" t="s">
        <v>4</v>
      </c>
      <c r="C7" s="2" t="s">
        <v>5</v>
      </c>
      <c r="D7" s="3" t="s">
        <v>6</v>
      </c>
    </row>
    <row r="8" spans="1:4" x14ac:dyDescent="0.2">
      <c r="A8" s="2" t="s">
        <v>13</v>
      </c>
      <c r="B8" s="2" t="s">
        <v>4</v>
      </c>
      <c r="C8" s="2" t="s">
        <v>8</v>
      </c>
      <c r="D8" s="3">
        <v>19.2</v>
      </c>
    </row>
    <row r="9" spans="1:4" x14ac:dyDescent="0.2">
      <c r="A9" s="2" t="s">
        <v>14</v>
      </c>
      <c r="B9" s="2" t="s">
        <v>4</v>
      </c>
      <c r="C9" s="2" t="s">
        <v>5</v>
      </c>
      <c r="D9" s="3" t="s">
        <v>6</v>
      </c>
    </row>
    <row r="10" spans="1:4" x14ac:dyDescent="0.2">
      <c r="A10" s="2" t="s">
        <v>15</v>
      </c>
      <c r="B10" s="2" t="s">
        <v>4</v>
      </c>
      <c r="C10" s="2" t="s">
        <v>8</v>
      </c>
      <c r="D10" s="3">
        <v>19.2</v>
      </c>
    </row>
    <row r="11" spans="1:4" x14ac:dyDescent="0.2">
      <c r="A11" s="2" t="s">
        <v>16</v>
      </c>
      <c r="B11" s="2" t="s">
        <v>4</v>
      </c>
      <c r="C11" s="2" t="s">
        <v>5</v>
      </c>
      <c r="D11" s="3" t="s">
        <v>6</v>
      </c>
    </row>
    <row r="12" spans="1:4" x14ac:dyDescent="0.2">
      <c r="A12" s="2" t="s">
        <v>17</v>
      </c>
      <c r="B12" s="2" t="s">
        <v>4</v>
      </c>
      <c r="C12" s="2" t="s">
        <v>5</v>
      </c>
      <c r="D12" s="3" t="s">
        <v>6</v>
      </c>
    </row>
    <row r="13" spans="1:4" x14ac:dyDescent="0.2">
      <c r="A13" s="2" t="s">
        <v>18</v>
      </c>
      <c r="B13" s="2" t="s">
        <v>4</v>
      </c>
      <c r="C13" s="2" t="s">
        <v>8</v>
      </c>
      <c r="D13" s="3">
        <v>19.2</v>
      </c>
    </row>
    <row r="14" spans="1:4" x14ac:dyDescent="0.2">
      <c r="A14" s="2" t="s">
        <v>19</v>
      </c>
      <c r="B14" s="2" t="s">
        <v>4</v>
      </c>
      <c r="C14" s="2" t="s">
        <v>5</v>
      </c>
      <c r="D14" s="3" t="s">
        <v>6</v>
      </c>
    </row>
    <row r="15" spans="1:4" x14ac:dyDescent="0.2">
      <c r="A15" s="2" t="s">
        <v>20</v>
      </c>
      <c r="B15" s="2" t="s">
        <v>4</v>
      </c>
      <c r="C15" s="2" t="s">
        <v>8</v>
      </c>
      <c r="D15" s="3">
        <v>19.2</v>
      </c>
    </row>
    <row r="16" spans="1:4" x14ac:dyDescent="0.2">
      <c r="A16" s="2" t="s">
        <v>21</v>
      </c>
      <c r="B16" s="2" t="s">
        <v>4</v>
      </c>
      <c r="C16" s="2" t="s">
        <v>5</v>
      </c>
      <c r="D16" s="3" t="s">
        <v>6</v>
      </c>
    </row>
    <row r="17" spans="1:4" x14ac:dyDescent="0.2">
      <c r="A17" s="2" t="s">
        <v>22</v>
      </c>
      <c r="B17" s="2" t="s">
        <v>4</v>
      </c>
      <c r="C17" s="2" t="s">
        <v>5</v>
      </c>
      <c r="D17" s="3" t="s">
        <v>6</v>
      </c>
    </row>
    <row r="18" spans="1:4" x14ac:dyDescent="0.2">
      <c r="A18" s="2" t="s">
        <v>23</v>
      </c>
      <c r="B18" s="2" t="s">
        <v>4</v>
      </c>
      <c r="C18" s="2" t="s">
        <v>8</v>
      </c>
      <c r="D18" s="3">
        <v>19.2</v>
      </c>
    </row>
    <row r="19" spans="1:4" x14ac:dyDescent="0.2">
      <c r="A19" s="2" t="s">
        <v>24</v>
      </c>
      <c r="B19" s="2" t="s">
        <v>4</v>
      </c>
      <c r="C19" s="2" t="s">
        <v>5</v>
      </c>
      <c r="D19" s="3" t="s">
        <v>6</v>
      </c>
    </row>
    <row r="20" spans="1:4" x14ac:dyDescent="0.2">
      <c r="A20" s="2" t="s">
        <v>25</v>
      </c>
      <c r="B20" s="2" t="s">
        <v>4</v>
      </c>
      <c r="C20" s="2" t="s">
        <v>8</v>
      </c>
      <c r="D20" s="3">
        <v>19.2</v>
      </c>
    </row>
    <row r="21" spans="1:4" x14ac:dyDescent="0.2">
      <c r="A21" s="2" t="s">
        <v>26</v>
      </c>
      <c r="B21" s="2" t="s">
        <v>4</v>
      </c>
      <c r="C21" s="2" t="s">
        <v>5</v>
      </c>
      <c r="D21" s="3" t="s">
        <v>6</v>
      </c>
    </row>
    <row r="22" spans="1:4" x14ac:dyDescent="0.2">
      <c r="A22" s="2" t="s">
        <v>27</v>
      </c>
      <c r="B22" s="2" t="s">
        <v>4</v>
      </c>
      <c r="C22" s="2" t="s">
        <v>28</v>
      </c>
      <c r="D22" s="3">
        <v>35.9</v>
      </c>
    </row>
    <row r="23" spans="1:4" x14ac:dyDescent="0.2">
      <c r="A23" s="2" t="s">
        <v>29</v>
      </c>
      <c r="B23" s="2" t="s">
        <v>4</v>
      </c>
      <c r="C23" s="2" t="s">
        <v>28</v>
      </c>
      <c r="D23" s="3">
        <v>35.9</v>
      </c>
    </row>
    <row r="24" spans="1:4" x14ac:dyDescent="0.2">
      <c r="A24" s="2" t="s">
        <v>30</v>
      </c>
      <c r="B24" s="2" t="s">
        <v>4</v>
      </c>
      <c r="C24" s="2" t="s">
        <v>28</v>
      </c>
      <c r="D24" s="3">
        <v>35.9</v>
      </c>
    </row>
    <row r="25" spans="1:4" x14ac:dyDescent="0.2">
      <c r="A25" s="2" t="s">
        <v>31</v>
      </c>
      <c r="B25" s="2" t="s">
        <v>4</v>
      </c>
      <c r="C25" s="2" t="s">
        <v>32</v>
      </c>
      <c r="D25" s="3">
        <v>71.8</v>
      </c>
    </row>
    <row r="26" spans="1:4" x14ac:dyDescent="0.2">
      <c r="A26" s="2" t="s">
        <v>33</v>
      </c>
      <c r="B26" s="2" t="s">
        <v>4</v>
      </c>
      <c r="C26" s="2" t="s">
        <v>32</v>
      </c>
      <c r="D26" s="3">
        <v>71.8</v>
      </c>
    </row>
    <row r="27" spans="1:4" x14ac:dyDescent="0.2">
      <c r="A27" s="2" t="s">
        <v>34</v>
      </c>
      <c r="B27" s="2" t="s">
        <v>4</v>
      </c>
      <c r="C27" s="2" t="s">
        <v>28</v>
      </c>
      <c r="D27" s="3">
        <v>35.9</v>
      </c>
    </row>
    <row r="28" spans="1:4" x14ac:dyDescent="0.2">
      <c r="A28" s="2" t="s">
        <v>35</v>
      </c>
      <c r="B28" s="2" t="s">
        <v>4</v>
      </c>
      <c r="C28" s="2" t="s">
        <v>28</v>
      </c>
      <c r="D28" s="3">
        <v>35.9</v>
      </c>
    </row>
    <row r="29" spans="1:4" x14ac:dyDescent="0.2">
      <c r="A29" s="2" t="s">
        <v>36</v>
      </c>
      <c r="B29" s="2" t="s">
        <v>4</v>
      </c>
      <c r="C29" s="2" t="s">
        <v>28</v>
      </c>
      <c r="D29" s="3">
        <v>35.9</v>
      </c>
    </row>
    <row r="30" spans="1:4" x14ac:dyDescent="0.2">
      <c r="A30" s="2" t="s">
        <v>37</v>
      </c>
      <c r="B30" s="2" t="s">
        <v>4</v>
      </c>
      <c r="C30" s="2" t="s">
        <v>28</v>
      </c>
      <c r="D30" s="3">
        <v>35.9</v>
      </c>
    </row>
    <row r="31" spans="1:4" x14ac:dyDescent="0.2">
      <c r="A31" s="2" t="s">
        <v>38</v>
      </c>
      <c r="B31" s="2" t="s">
        <v>4</v>
      </c>
      <c r="C31" s="2" t="s">
        <v>32</v>
      </c>
      <c r="D31" s="3">
        <v>71.8</v>
      </c>
    </row>
    <row r="32" spans="1:4" x14ac:dyDescent="0.2">
      <c r="A32" s="2" t="s">
        <v>39</v>
      </c>
      <c r="B32" s="2" t="s">
        <v>4</v>
      </c>
      <c r="C32" s="2" t="s">
        <v>32</v>
      </c>
      <c r="D32" s="3">
        <v>71.8</v>
      </c>
    </row>
    <row r="33" spans="1:4" x14ac:dyDescent="0.2">
      <c r="A33" s="2" t="s">
        <v>40</v>
      </c>
      <c r="B33" s="2" t="s">
        <v>4</v>
      </c>
      <c r="C33" s="2" t="s">
        <v>28</v>
      </c>
      <c r="D33" s="3">
        <v>35.9</v>
      </c>
    </row>
    <row r="34" spans="1:4" x14ac:dyDescent="0.2">
      <c r="A34" s="2" t="s">
        <v>41</v>
      </c>
      <c r="B34" s="2" t="s">
        <v>4</v>
      </c>
      <c r="C34" s="2" t="s">
        <v>28</v>
      </c>
      <c r="D34" s="3">
        <v>35.9</v>
      </c>
    </row>
    <row r="35" spans="1:4" x14ac:dyDescent="0.2">
      <c r="A35" s="2" t="s">
        <v>42</v>
      </c>
      <c r="B35" s="2" t="s">
        <v>4</v>
      </c>
      <c r="C35" s="2" t="s">
        <v>28</v>
      </c>
      <c r="D35" s="3">
        <v>35.9</v>
      </c>
    </row>
    <row r="36" spans="1:4" x14ac:dyDescent="0.2">
      <c r="A36" s="2" t="s">
        <v>43</v>
      </c>
      <c r="B36" s="2" t="s">
        <v>4</v>
      </c>
      <c r="C36" s="2" t="s">
        <v>28</v>
      </c>
      <c r="D36" s="3">
        <v>35.9</v>
      </c>
    </row>
    <row r="37" spans="1:4" x14ac:dyDescent="0.2">
      <c r="A37" s="2" t="s">
        <v>44</v>
      </c>
      <c r="B37" s="2" t="s">
        <v>4</v>
      </c>
      <c r="C37" s="2" t="s">
        <v>32</v>
      </c>
      <c r="D37" s="3">
        <v>71.8</v>
      </c>
    </row>
    <row r="38" spans="1:4" x14ac:dyDescent="0.2">
      <c r="A38" s="2" t="s">
        <v>45</v>
      </c>
      <c r="B38" s="2" t="s">
        <v>4</v>
      </c>
      <c r="C38" s="2" t="s">
        <v>32</v>
      </c>
      <c r="D38" s="3">
        <v>71.8</v>
      </c>
    </row>
    <row r="39" spans="1:4" x14ac:dyDescent="0.2">
      <c r="A39" s="2" t="s">
        <v>46</v>
      </c>
      <c r="B39" s="2" t="s">
        <v>4</v>
      </c>
      <c r="C39" s="2" t="s">
        <v>28</v>
      </c>
      <c r="D39" s="3">
        <v>35.9</v>
      </c>
    </row>
    <row r="40" spans="1:4" x14ac:dyDescent="0.2">
      <c r="A40" s="2" t="s">
        <v>47</v>
      </c>
      <c r="B40" s="2" t="s">
        <v>4</v>
      </c>
      <c r="C40" s="2" t="s">
        <v>28</v>
      </c>
      <c r="D40" s="3">
        <v>35.9</v>
      </c>
    </row>
    <row r="41" spans="1:4" x14ac:dyDescent="0.2">
      <c r="A41" s="2" t="s">
        <v>48</v>
      </c>
      <c r="B41" s="2" t="s">
        <v>4</v>
      </c>
      <c r="C41" s="2" t="s">
        <v>28</v>
      </c>
      <c r="D41" s="3">
        <v>35.9</v>
      </c>
    </row>
    <row r="42" spans="1:4" x14ac:dyDescent="0.2">
      <c r="A42" s="2" t="s">
        <v>49</v>
      </c>
      <c r="B42" s="2" t="s">
        <v>50</v>
      </c>
      <c r="C42" s="2" t="s">
        <v>28</v>
      </c>
      <c r="D42" s="3">
        <v>35.9</v>
      </c>
    </row>
    <row r="43" spans="1:4" x14ac:dyDescent="0.2">
      <c r="A43" s="2" t="s">
        <v>51</v>
      </c>
      <c r="B43" s="2" t="s">
        <v>50</v>
      </c>
      <c r="C43" s="2" t="s">
        <v>28</v>
      </c>
      <c r="D43" s="3">
        <v>35.9</v>
      </c>
    </row>
    <row r="44" spans="1:4" x14ac:dyDescent="0.2">
      <c r="A44" s="2" t="s">
        <v>52</v>
      </c>
      <c r="B44" s="2" t="s">
        <v>50</v>
      </c>
      <c r="C44" s="2" t="s">
        <v>28</v>
      </c>
      <c r="D44" s="3">
        <v>35.9</v>
      </c>
    </row>
    <row r="45" spans="1:4" x14ac:dyDescent="0.2">
      <c r="A45" s="2" t="s">
        <v>53</v>
      </c>
      <c r="B45" s="2" t="s">
        <v>50</v>
      </c>
      <c r="C45" s="2" t="s">
        <v>28</v>
      </c>
      <c r="D45" s="3">
        <v>35.9</v>
      </c>
    </row>
    <row r="46" spans="1:4" x14ac:dyDescent="0.2">
      <c r="A46" s="2" t="s">
        <v>54</v>
      </c>
      <c r="B46" s="2" t="s">
        <v>50</v>
      </c>
      <c r="C46" s="2" t="s">
        <v>32</v>
      </c>
      <c r="D46" s="3">
        <v>71.8</v>
      </c>
    </row>
    <row r="47" spans="1:4" x14ac:dyDescent="0.2">
      <c r="A47" s="2" t="s">
        <v>55</v>
      </c>
      <c r="B47" s="2" t="s">
        <v>50</v>
      </c>
      <c r="C47" s="2" t="s">
        <v>28</v>
      </c>
      <c r="D47" s="3">
        <v>35.9</v>
      </c>
    </row>
    <row r="48" spans="1:4" x14ac:dyDescent="0.2">
      <c r="A48" s="2" t="s">
        <v>56</v>
      </c>
      <c r="B48" s="2" t="s">
        <v>50</v>
      </c>
      <c r="C48" s="2" t="s">
        <v>28</v>
      </c>
      <c r="D48" s="3">
        <v>35.9</v>
      </c>
    </row>
    <row r="49" spans="1:4" x14ac:dyDescent="0.2">
      <c r="A49" s="2" t="s">
        <v>57</v>
      </c>
      <c r="B49" s="2" t="s">
        <v>50</v>
      </c>
      <c r="C49" s="2" t="s">
        <v>28</v>
      </c>
      <c r="D49" s="3">
        <v>35.9</v>
      </c>
    </row>
    <row r="50" spans="1:4" x14ac:dyDescent="0.2">
      <c r="A50" s="2" t="s">
        <v>58</v>
      </c>
      <c r="B50" s="2" t="s">
        <v>50</v>
      </c>
      <c r="C50" s="2" t="s">
        <v>28</v>
      </c>
      <c r="D50" s="3">
        <v>35.9</v>
      </c>
    </row>
    <row r="51" spans="1:4" x14ac:dyDescent="0.2">
      <c r="A51" s="2" t="s">
        <v>59</v>
      </c>
      <c r="B51" s="2" t="s">
        <v>50</v>
      </c>
      <c r="C51" s="2" t="s">
        <v>32</v>
      </c>
      <c r="D51" s="3">
        <v>71.8</v>
      </c>
    </row>
    <row r="52" spans="1:4" x14ac:dyDescent="0.2">
      <c r="A52" s="2" t="s">
        <v>60</v>
      </c>
      <c r="B52" s="2" t="s">
        <v>50</v>
      </c>
      <c r="C52" s="2" t="s">
        <v>28</v>
      </c>
      <c r="D52" s="3">
        <v>35.9</v>
      </c>
    </row>
    <row r="53" spans="1:4" x14ac:dyDescent="0.2">
      <c r="A53" s="2" t="s">
        <v>61</v>
      </c>
      <c r="B53" s="2" t="s">
        <v>50</v>
      </c>
      <c r="C53" s="2" t="s">
        <v>28</v>
      </c>
      <c r="D53" s="3">
        <v>35.9</v>
      </c>
    </row>
    <row r="54" spans="1:4" x14ac:dyDescent="0.2">
      <c r="A54" s="2" t="s">
        <v>62</v>
      </c>
      <c r="B54" s="2" t="s">
        <v>50</v>
      </c>
      <c r="C54" s="2" t="s">
        <v>28</v>
      </c>
      <c r="D54" s="3">
        <v>35.9</v>
      </c>
    </row>
    <row r="55" spans="1:4" x14ac:dyDescent="0.2">
      <c r="A55" s="2" t="s">
        <v>63</v>
      </c>
      <c r="B55" s="2" t="s">
        <v>50</v>
      </c>
      <c r="C55" s="2" t="s">
        <v>28</v>
      </c>
      <c r="D55" s="3">
        <v>35.9</v>
      </c>
    </row>
    <row r="56" spans="1:4" x14ac:dyDescent="0.2">
      <c r="A56" s="2" t="s">
        <v>64</v>
      </c>
      <c r="B56" s="2" t="s">
        <v>50</v>
      </c>
      <c r="C56" s="2" t="s">
        <v>32</v>
      </c>
      <c r="D56" s="3">
        <v>71.8</v>
      </c>
    </row>
    <row r="57" spans="1:4" x14ac:dyDescent="0.2">
      <c r="A57" s="2" t="s">
        <v>65</v>
      </c>
      <c r="B57" s="2" t="s">
        <v>50</v>
      </c>
      <c r="C57" s="2" t="s">
        <v>28</v>
      </c>
      <c r="D57" s="3">
        <v>35.9</v>
      </c>
    </row>
    <row r="58" spans="1:4" x14ac:dyDescent="0.2">
      <c r="A58" s="2" t="s">
        <v>66</v>
      </c>
      <c r="B58" s="2" t="s">
        <v>50</v>
      </c>
      <c r="C58" s="2" t="s">
        <v>28</v>
      </c>
      <c r="D58" s="3">
        <v>35.9</v>
      </c>
    </row>
    <row r="59" spans="1:4" x14ac:dyDescent="0.2">
      <c r="A59" s="2" t="s">
        <v>67</v>
      </c>
      <c r="B59" s="2" t="s">
        <v>50</v>
      </c>
      <c r="C59" s="2" t="s">
        <v>28</v>
      </c>
      <c r="D59" s="3">
        <v>35.9</v>
      </c>
    </row>
    <row r="60" spans="1:4" x14ac:dyDescent="0.2">
      <c r="A60" s="2" t="s">
        <v>68</v>
      </c>
      <c r="B60" s="2" t="s">
        <v>50</v>
      </c>
      <c r="C60" s="2" t="s">
        <v>28</v>
      </c>
      <c r="D60" s="3">
        <v>35.9</v>
      </c>
    </row>
    <row r="61" spans="1:4" x14ac:dyDescent="0.2">
      <c r="A61" s="2" t="s">
        <v>69</v>
      </c>
      <c r="B61" s="2" t="s">
        <v>50</v>
      </c>
      <c r="C61" s="2" t="s">
        <v>32</v>
      </c>
      <c r="D61" s="3">
        <v>71.8</v>
      </c>
    </row>
    <row r="62" spans="1:4" x14ac:dyDescent="0.2">
      <c r="A62" s="2" t="s">
        <v>70</v>
      </c>
      <c r="B62" s="2" t="s">
        <v>50</v>
      </c>
      <c r="C62" s="2" t="s">
        <v>28</v>
      </c>
      <c r="D62" s="3">
        <v>35.9</v>
      </c>
    </row>
    <row r="63" spans="1:4" x14ac:dyDescent="0.2">
      <c r="A63" s="2" t="s">
        <v>71</v>
      </c>
      <c r="B63" s="2" t="s">
        <v>50</v>
      </c>
      <c r="C63" s="2" t="s">
        <v>28</v>
      </c>
      <c r="D63" s="3">
        <v>35.9</v>
      </c>
    </row>
    <row r="64" spans="1:4" x14ac:dyDescent="0.2">
      <c r="A64" s="2" t="s">
        <v>72</v>
      </c>
      <c r="B64" s="2" t="s">
        <v>50</v>
      </c>
      <c r="C64" s="2" t="s">
        <v>28</v>
      </c>
      <c r="D64" s="3">
        <v>35.9</v>
      </c>
    </row>
    <row r="65" spans="1:4" x14ac:dyDescent="0.2">
      <c r="A65" s="2" t="s">
        <v>73</v>
      </c>
      <c r="B65" s="2" t="s">
        <v>50</v>
      </c>
      <c r="C65" s="2" t="s">
        <v>28</v>
      </c>
      <c r="D65" s="3">
        <v>35.9</v>
      </c>
    </row>
    <row r="66" spans="1:4" x14ac:dyDescent="0.2">
      <c r="A66" s="2" t="s">
        <v>74</v>
      </c>
      <c r="B66" s="2" t="s">
        <v>50</v>
      </c>
      <c r="C66" s="2" t="s">
        <v>32</v>
      </c>
      <c r="D66" s="3">
        <v>71.8</v>
      </c>
    </row>
    <row r="67" spans="1:4" x14ac:dyDescent="0.2">
      <c r="A67" s="2" t="s">
        <v>75</v>
      </c>
      <c r="B67" s="2" t="s">
        <v>50</v>
      </c>
      <c r="C67" s="2" t="s">
        <v>28</v>
      </c>
      <c r="D67" s="3">
        <v>35.9</v>
      </c>
    </row>
    <row r="68" spans="1:4" x14ac:dyDescent="0.2">
      <c r="A68" s="2" t="s">
        <v>76</v>
      </c>
      <c r="B68" s="2" t="s">
        <v>50</v>
      </c>
      <c r="C68" s="2" t="s">
        <v>28</v>
      </c>
      <c r="D68" s="3">
        <v>35.9</v>
      </c>
    </row>
    <row r="69" spans="1:4" x14ac:dyDescent="0.2">
      <c r="A69" s="2" t="s">
        <v>77</v>
      </c>
      <c r="B69" s="2" t="s">
        <v>50</v>
      </c>
      <c r="C69" s="2" t="s">
        <v>28</v>
      </c>
      <c r="D69" s="3">
        <v>35.9</v>
      </c>
    </row>
    <row r="70" spans="1:4" x14ac:dyDescent="0.2">
      <c r="A70" s="2" t="s">
        <v>78</v>
      </c>
      <c r="B70" s="2" t="s">
        <v>50</v>
      </c>
      <c r="C70" s="2" t="s">
        <v>32</v>
      </c>
      <c r="D70" s="3">
        <v>71.8</v>
      </c>
    </row>
    <row r="71" spans="1:4" x14ac:dyDescent="0.2">
      <c r="A71" s="2" t="s">
        <v>79</v>
      </c>
      <c r="B71" s="2" t="s">
        <v>50</v>
      </c>
      <c r="C71" s="2" t="s">
        <v>28</v>
      </c>
      <c r="D71" s="3">
        <v>35.9</v>
      </c>
    </row>
    <row r="72" spans="1:4" x14ac:dyDescent="0.2">
      <c r="A72" s="2" t="s">
        <v>80</v>
      </c>
      <c r="B72" s="2" t="s">
        <v>50</v>
      </c>
      <c r="C72" s="2" t="s">
        <v>28</v>
      </c>
      <c r="D72" s="3">
        <v>35.9</v>
      </c>
    </row>
    <row r="73" spans="1:4" x14ac:dyDescent="0.2">
      <c r="A73" s="2" t="s">
        <v>81</v>
      </c>
      <c r="B73" s="2" t="s">
        <v>50</v>
      </c>
      <c r="C73" s="2" t="s">
        <v>28</v>
      </c>
      <c r="D73" s="3">
        <v>35.9</v>
      </c>
    </row>
    <row r="74" spans="1:4" x14ac:dyDescent="0.2">
      <c r="A74" s="2" t="s">
        <v>82</v>
      </c>
      <c r="B74" s="2" t="s">
        <v>50</v>
      </c>
      <c r="C74" s="2" t="s">
        <v>28</v>
      </c>
      <c r="D74" s="3">
        <v>35.9</v>
      </c>
    </row>
    <row r="75" spans="1:4" x14ac:dyDescent="0.2">
      <c r="A75" s="2" t="s">
        <v>83</v>
      </c>
      <c r="B75" s="2" t="s">
        <v>50</v>
      </c>
      <c r="C75" s="2" t="s">
        <v>32</v>
      </c>
      <c r="D75" s="3">
        <v>71.8</v>
      </c>
    </row>
    <row r="76" spans="1:4" x14ac:dyDescent="0.2">
      <c r="A76" s="2" t="s">
        <v>84</v>
      </c>
      <c r="B76" s="2" t="s">
        <v>50</v>
      </c>
      <c r="C76" s="2" t="s">
        <v>28</v>
      </c>
      <c r="D76" s="3">
        <v>35.9</v>
      </c>
    </row>
    <row r="77" spans="1:4" x14ac:dyDescent="0.2">
      <c r="A77" s="2" t="s">
        <v>85</v>
      </c>
      <c r="B77" s="2" t="s">
        <v>50</v>
      </c>
      <c r="C77" s="2" t="s">
        <v>28</v>
      </c>
      <c r="D77" s="3">
        <v>35.9</v>
      </c>
    </row>
    <row r="78" spans="1:4" x14ac:dyDescent="0.2">
      <c r="A78" s="2" t="s">
        <v>86</v>
      </c>
      <c r="B78" s="2" t="s">
        <v>50</v>
      </c>
      <c r="C78" s="2" t="s">
        <v>32</v>
      </c>
      <c r="D78" s="3">
        <v>71.8</v>
      </c>
    </row>
    <row r="79" spans="1:4" x14ac:dyDescent="0.2">
      <c r="A79" s="2" t="s">
        <v>87</v>
      </c>
      <c r="B79" s="2" t="s">
        <v>50</v>
      </c>
      <c r="C79" s="2" t="s">
        <v>28</v>
      </c>
      <c r="D79" s="3">
        <v>35.9</v>
      </c>
    </row>
    <row r="80" spans="1:4" x14ac:dyDescent="0.2">
      <c r="A80" s="2" t="s">
        <v>88</v>
      </c>
      <c r="B80" s="2" t="s">
        <v>50</v>
      </c>
      <c r="C80" s="2" t="s">
        <v>32</v>
      </c>
      <c r="D80" s="3">
        <v>71.8</v>
      </c>
    </row>
    <row r="81" spans="1:4" x14ac:dyDescent="0.2">
      <c r="A81" s="2" t="s">
        <v>89</v>
      </c>
      <c r="B81" s="2" t="s">
        <v>50</v>
      </c>
      <c r="C81" s="2" t="s">
        <v>28</v>
      </c>
      <c r="D81" s="3">
        <v>35.9</v>
      </c>
    </row>
    <row r="82" spans="1:4" x14ac:dyDescent="0.2">
      <c r="A82" s="2" t="s">
        <v>90</v>
      </c>
      <c r="B82" s="2" t="s">
        <v>50</v>
      </c>
      <c r="C82" s="2" t="s">
        <v>32</v>
      </c>
      <c r="D82" s="3">
        <v>71.8</v>
      </c>
    </row>
    <row r="83" spans="1:4" x14ac:dyDescent="0.2">
      <c r="A83" s="2" t="s">
        <v>91</v>
      </c>
      <c r="B83" s="2" t="s">
        <v>50</v>
      </c>
      <c r="C83" s="2" t="s">
        <v>28</v>
      </c>
      <c r="D83" s="3">
        <v>35.9</v>
      </c>
    </row>
    <row r="84" spans="1:4" x14ac:dyDescent="0.2">
      <c r="A84" s="2" t="s">
        <v>92</v>
      </c>
      <c r="B84" s="2" t="s">
        <v>50</v>
      </c>
      <c r="C84" s="2" t="s">
        <v>32</v>
      </c>
      <c r="D84" s="3">
        <v>71.8</v>
      </c>
    </row>
    <row r="85" spans="1:4" x14ac:dyDescent="0.2">
      <c r="A85" s="2" t="s">
        <v>93</v>
      </c>
      <c r="B85" s="2" t="s">
        <v>50</v>
      </c>
      <c r="C85" s="2" t="s">
        <v>28</v>
      </c>
      <c r="D85" s="3">
        <v>35.9</v>
      </c>
    </row>
    <row r="86" spans="1:4" x14ac:dyDescent="0.2">
      <c r="A86" s="2" t="s">
        <v>94</v>
      </c>
      <c r="B86" s="2" t="s">
        <v>50</v>
      </c>
      <c r="C86" s="2" t="s">
        <v>28</v>
      </c>
      <c r="D86" s="3">
        <v>35.9</v>
      </c>
    </row>
    <row r="87" spans="1:4" x14ac:dyDescent="0.2">
      <c r="A87" s="2" t="s">
        <v>95</v>
      </c>
      <c r="B87" s="2" t="s">
        <v>50</v>
      </c>
      <c r="C87" s="2" t="s">
        <v>28</v>
      </c>
      <c r="D87" s="3">
        <v>35.9</v>
      </c>
    </row>
    <row r="88" spans="1:4" x14ac:dyDescent="0.2">
      <c r="A88" s="2" t="s">
        <v>96</v>
      </c>
      <c r="B88" s="2" t="s">
        <v>50</v>
      </c>
      <c r="C88" s="2" t="s">
        <v>28</v>
      </c>
      <c r="D88" s="3">
        <v>35.9</v>
      </c>
    </row>
    <row r="89" spans="1:4" x14ac:dyDescent="0.2">
      <c r="A89" s="2" t="s">
        <v>97</v>
      </c>
      <c r="B89" s="2" t="s">
        <v>50</v>
      </c>
      <c r="C89" s="2" t="s">
        <v>32</v>
      </c>
      <c r="D89" s="3">
        <v>71.8</v>
      </c>
    </row>
    <row r="90" spans="1:4" x14ac:dyDescent="0.2">
      <c r="A90" s="2" t="s">
        <v>98</v>
      </c>
      <c r="B90" s="2" t="s">
        <v>50</v>
      </c>
      <c r="C90" s="2" t="s">
        <v>28</v>
      </c>
      <c r="D90" s="3">
        <v>35.9</v>
      </c>
    </row>
    <row r="91" spans="1:4" x14ac:dyDescent="0.2">
      <c r="A91" s="2" t="s">
        <v>99</v>
      </c>
      <c r="B91" s="2" t="s">
        <v>50</v>
      </c>
      <c r="C91" s="2" t="s">
        <v>32</v>
      </c>
      <c r="D91" s="3">
        <v>71.8</v>
      </c>
    </row>
    <row r="92" spans="1:4" x14ac:dyDescent="0.2">
      <c r="A92" s="2" t="s">
        <v>100</v>
      </c>
      <c r="B92" s="2" t="s">
        <v>50</v>
      </c>
      <c r="C92" s="2" t="s">
        <v>28</v>
      </c>
      <c r="D92" s="3">
        <v>35.9</v>
      </c>
    </row>
    <row r="93" spans="1:4" x14ac:dyDescent="0.2">
      <c r="A93" s="2" t="s">
        <v>101</v>
      </c>
      <c r="B93" s="2" t="s">
        <v>50</v>
      </c>
      <c r="C93" s="2" t="s">
        <v>32</v>
      </c>
      <c r="D93" s="3">
        <v>71.8</v>
      </c>
    </row>
    <row r="94" spans="1:4" x14ac:dyDescent="0.2">
      <c r="A94" s="2" t="s">
        <v>102</v>
      </c>
      <c r="B94" s="2" t="s">
        <v>50</v>
      </c>
      <c r="C94" s="2" t="s">
        <v>28</v>
      </c>
      <c r="D94" s="3">
        <v>35.9</v>
      </c>
    </row>
    <row r="95" spans="1:4" x14ac:dyDescent="0.2">
      <c r="A95" s="2" t="s">
        <v>103</v>
      </c>
      <c r="B95" s="2" t="s">
        <v>50</v>
      </c>
      <c r="C95" s="2" t="s">
        <v>32</v>
      </c>
      <c r="D95" s="3">
        <v>71.8</v>
      </c>
    </row>
    <row r="96" spans="1:4" x14ac:dyDescent="0.2">
      <c r="A96" s="2" t="s">
        <v>104</v>
      </c>
      <c r="B96" s="2" t="s">
        <v>50</v>
      </c>
      <c r="C96" s="2" t="s">
        <v>28</v>
      </c>
      <c r="D96" s="3">
        <v>35.9</v>
      </c>
    </row>
    <row r="97" spans="1:4" x14ac:dyDescent="0.2">
      <c r="A97" s="2" t="s">
        <v>105</v>
      </c>
      <c r="B97" s="2" t="s">
        <v>50</v>
      </c>
      <c r="C97" s="2" t="s">
        <v>28</v>
      </c>
      <c r="D97" s="3">
        <v>35.9</v>
      </c>
    </row>
    <row r="98" spans="1:4" x14ac:dyDescent="0.2">
      <c r="A98" s="2" t="s">
        <v>106</v>
      </c>
      <c r="B98" s="2" t="s">
        <v>50</v>
      </c>
      <c r="C98" s="2" t="s">
        <v>32</v>
      </c>
      <c r="D98" s="3">
        <v>71.8</v>
      </c>
    </row>
    <row r="99" spans="1:4" x14ac:dyDescent="0.2">
      <c r="A99" s="2" t="s">
        <v>107</v>
      </c>
      <c r="B99" s="2" t="s">
        <v>50</v>
      </c>
      <c r="C99" s="2" t="s">
        <v>32</v>
      </c>
      <c r="D99" s="3">
        <v>71.8</v>
      </c>
    </row>
    <row r="100" spans="1:4" x14ac:dyDescent="0.2">
      <c r="A100" s="2" t="s">
        <v>108</v>
      </c>
      <c r="B100" s="2" t="s">
        <v>50</v>
      </c>
      <c r="C100" s="2" t="s">
        <v>28</v>
      </c>
      <c r="D100" s="3">
        <v>35.9</v>
      </c>
    </row>
    <row r="101" spans="1:4" x14ac:dyDescent="0.2">
      <c r="A101" s="2" t="s">
        <v>109</v>
      </c>
      <c r="B101" s="2" t="s">
        <v>50</v>
      </c>
      <c r="C101" s="2" t="s">
        <v>32</v>
      </c>
      <c r="D101" s="3">
        <v>71.8</v>
      </c>
    </row>
    <row r="102" spans="1:4" x14ac:dyDescent="0.2">
      <c r="A102" s="2" t="s">
        <v>110</v>
      </c>
      <c r="B102" s="2" t="s">
        <v>50</v>
      </c>
      <c r="C102" s="2" t="s">
        <v>28</v>
      </c>
      <c r="D102" s="3">
        <v>35.9</v>
      </c>
    </row>
    <row r="103" spans="1:4" x14ac:dyDescent="0.2">
      <c r="A103" s="2" t="s">
        <v>111</v>
      </c>
      <c r="B103" s="2" t="s">
        <v>50</v>
      </c>
      <c r="C103" s="2" t="s">
        <v>28</v>
      </c>
      <c r="D103" s="3">
        <v>35.9</v>
      </c>
    </row>
    <row r="104" spans="1:4" x14ac:dyDescent="0.2">
      <c r="A104" s="2" t="s">
        <v>112</v>
      </c>
      <c r="B104" s="2" t="s">
        <v>50</v>
      </c>
      <c r="C104" s="2" t="s">
        <v>28</v>
      </c>
      <c r="D104" s="3">
        <v>35.9</v>
      </c>
    </row>
    <row r="105" spans="1:4" x14ac:dyDescent="0.2">
      <c r="A105" s="2" t="s">
        <v>113</v>
      </c>
      <c r="B105" s="2" t="s">
        <v>50</v>
      </c>
      <c r="C105" s="2" t="s">
        <v>32</v>
      </c>
      <c r="D105" s="3">
        <v>71.8</v>
      </c>
    </row>
    <row r="106" spans="1:4" x14ac:dyDescent="0.2">
      <c r="A106" s="2" t="s">
        <v>114</v>
      </c>
      <c r="B106" s="2" t="s">
        <v>50</v>
      </c>
      <c r="C106" s="2" t="s">
        <v>28</v>
      </c>
      <c r="D106" s="3">
        <v>35.9</v>
      </c>
    </row>
    <row r="107" spans="1:4" x14ac:dyDescent="0.2">
      <c r="A107" s="2" t="s">
        <v>115</v>
      </c>
      <c r="B107" s="2" t="s">
        <v>50</v>
      </c>
      <c r="C107" s="2" t="s">
        <v>32</v>
      </c>
      <c r="D107" s="3">
        <v>71.8</v>
      </c>
    </row>
    <row r="108" spans="1:4" x14ac:dyDescent="0.2">
      <c r="A108" s="2" t="s">
        <v>116</v>
      </c>
      <c r="B108" s="2" t="s">
        <v>50</v>
      </c>
      <c r="C108" s="2" t="s">
        <v>28</v>
      </c>
      <c r="D108" s="3">
        <v>35.9</v>
      </c>
    </row>
    <row r="109" spans="1:4" x14ac:dyDescent="0.2">
      <c r="A109" s="2" t="s">
        <v>117</v>
      </c>
      <c r="B109" s="2" t="s">
        <v>50</v>
      </c>
      <c r="C109" s="2" t="s">
        <v>28</v>
      </c>
      <c r="D109" s="3">
        <v>35.9</v>
      </c>
    </row>
    <row r="110" spans="1:4" x14ac:dyDescent="0.2">
      <c r="A110" s="2" t="s">
        <v>118</v>
      </c>
      <c r="B110" s="2" t="s">
        <v>50</v>
      </c>
      <c r="C110" s="2" t="s">
        <v>32</v>
      </c>
      <c r="D110" s="3">
        <v>71.8</v>
      </c>
    </row>
    <row r="111" spans="1:4" x14ac:dyDescent="0.2">
      <c r="A111" s="2" t="s">
        <v>119</v>
      </c>
      <c r="B111" s="2" t="s">
        <v>50</v>
      </c>
      <c r="C111" s="2" t="s">
        <v>32</v>
      </c>
      <c r="D111" s="3">
        <v>71.8</v>
      </c>
    </row>
    <row r="112" spans="1:4" x14ac:dyDescent="0.2">
      <c r="A112" s="2" t="s">
        <v>120</v>
      </c>
      <c r="B112" s="2" t="s">
        <v>50</v>
      </c>
      <c r="C112" s="2" t="s">
        <v>32</v>
      </c>
      <c r="D112" s="3">
        <v>71.8</v>
      </c>
    </row>
    <row r="113" spans="1:4" x14ac:dyDescent="0.2">
      <c r="A113" s="2" t="s">
        <v>121</v>
      </c>
      <c r="B113" s="2" t="s">
        <v>50</v>
      </c>
      <c r="C113" s="2" t="s">
        <v>32</v>
      </c>
      <c r="D113" s="3">
        <v>71.8</v>
      </c>
    </row>
    <row r="114" spans="1:4" x14ac:dyDescent="0.2">
      <c r="A114" s="2" t="s">
        <v>122</v>
      </c>
      <c r="B114" s="2" t="s">
        <v>50</v>
      </c>
      <c r="C114" s="2" t="s">
        <v>123</v>
      </c>
      <c r="D114" s="3">
        <v>47.6</v>
      </c>
    </row>
    <row r="115" spans="1:4" x14ac:dyDescent="0.2">
      <c r="A115" s="2" t="s">
        <v>124</v>
      </c>
      <c r="B115" s="2" t="s">
        <v>50</v>
      </c>
      <c r="C115" s="2" t="s">
        <v>8</v>
      </c>
      <c r="D115" s="3">
        <v>19.2</v>
      </c>
    </row>
    <row r="116" spans="1:4" x14ac:dyDescent="0.2">
      <c r="A116" s="2" t="s">
        <v>125</v>
      </c>
      <c r="B116" s="2" t="s">
        <v>50</v>
      </c>
      <c r="C116" s="2" t="s">
        <v>28</v>
      </c>
      <c r="D116" s="3">
        <v>35.9</v>
      </c>
    </row>
    <row r="117" spans="1:4" x14ac:dyDescent="0.2">
      <c r="A117" s="2" t="s">
        <v>126</v>
      </c>
      <c r="B117" s="2" t="s">
        <v>50</v>
      </c>
      <c r="C117" s="2" t="s">
        <v>28</v>
      </c>
      <c r="D117" s="3">
        <v>35.9</v>
      </c>
    </row>
    <row r="118" spans="1:4" x14ac:dyDescent="0.2">
      <c r="A118" s="2" t="s">
        <v>127</v>
      </c>
      <c r="B118" s="2" t="s">
        <v>50</v>
      </c>
      <c r="C118" s="2" t="s">
        <v>28</v>
      </c>
      <c r="D118" s="3">
        <v>35.9</v>
      </c>
    </row>
    <row r="119" spans="1:4" x14ac:dyDescent="0.2">
      <c r="A119" s="2" t="s">
        <v>128</v>
      </c>
      <c r="B119" s="2" t="s">
        <v>50</v>
      </c>
      <c r="C119" s="2" t="s">
        <v>28</v>
      </c>
      <c r="D119" s="3">
        <v>35.9</v>
      </c>
    </row>
    <row r="120" spans="1:4" x14ac:dyDescent="0.2">
      <c r="A120" s="2" t="s">
        <v>129</v>
      </c>
      <c r="B120" s="2" t="s">
        <v>50</v>
      </c>
      <c r="C120" s="2" t="s">
        <v>28</v>
      </c>
      <c r="D120" s="3">
        <v>35.9</v>
      </c>
    </row>
    <row r="121" spans="1:4" x14ac:dyDescent="0.2">
      <c r="A121" s="2" t="s">
        <v>130</v>
      </c>
      <c r="B121" s="2" t="s">
        <v>50</v>
      </c>
      <c r="C121" s="2" t="s">
        <v>28</v>
      </c>
      <c r="D121" s="3">
        <v>35.9</v>
      </c>
    </row>
    <row r="122" spans="1:4" x14ac:dyDescent="0.2">
      <c r="A122" s="2" t="s">
        <v>131</v>
      </c>
      <c r="B122" s="2" t="s">
        <v>50</v>
      </c>
      <c r="C122" s="2" t="s">
        <v>28</v>
      </c>
      <c r="D122" s="3">
        <v>35.9</v>
      </c>
    </row>
    <row r="123" spans="1:4" x14ac:dyDescent="0.2">
      <c r="A123" s="2" t="s">
        <v>132</v>
      </c>
      <c r="B123" s="2" t="s">
        <v>50</v>
      </c>
      <c r="C123" s="2" t="s">
        <v>28</v>
      </c>
      <c r="D123" s="3">
        <v>35.9</v>
      </c>
    </row>
    <row r="124" spans="1:4" x14ac:dyDescent="0.2">
      <c r="A124" s="2" t="s">
        <v>133</v>
      </c>
      <c r="B124" s="2" t="s">
        <v>50</v>
      </c>
      <c r="C124" s="2" t="s">
        <v>28</v>
      </c>
      <c r="D124" s="3">
        <v>35.9</v>
      </c>
    </row>
    <row r="125" spans="1:4" x14ac:dyDescent="0.2">
      <c r="A125" s="2" t="s">
        <v>134</v>
      </c>
      <c r="B125" s="2" t="s">
        <v>50</v>
      </c>
      <c r="C125" s="2" t="s">
        <v>28</v>
      </c>
      <c r="D125" s="3">
        <v>35.9</v>
      </c>
    </row>
    <row r="126" spans="1:4" x14ac:dyDescent="0.2">
      <c r="A126" s="2" t="s">
        <v>135</v>
      </c>
      <c r="B126" s="2" t="s">
        <v>50</v>
      </c>
      <c r="C126" s="2" t="s">
        <v>32</v>
      </c>
      <c r="D126" s="3">
        <v>71.8</v>
      </c>
    </row>
    <row r="127" spans="1:4" x14ac:dyDescent="0.2">
      <c r="A127" s="2" t="s">
        <v>136</v>
      </c>
      <c r="B127" s="2" t="s">
        <v>50</v>
      </c>
      <c r="C127" s="2" t="s">
        <v>8</v>
      </c>
      <c r="D127" s="3">
        <v>19.2</v>
      </c>
    </row>
    <row r="128" spans="1:4" x14ac:dyDescent="0.2">
      <c r="A128" s="2" t="s">
        <v>137</v>
      </c>
      <c r="B128" s="2" t="s">
        <v>50</v>
      </c>
      <c r="C128" s="2" t="s">
        <v>32</v>
      </c>
      <c r="D128" s="3">
        <v>71.8</v>
      </c>
    </row>
    <row r="129" spans="1:4" x14ac:dyDescent="0.2">
      <c r="A129" s="2" t="s">
        <v>138</v>
      </c>
      <c r="B129" s="2" t="s">
        <v>50</v>
      </c>
      <c r="C129" s="2" t="s">
        <v>28</v>
      </c>
      <c r="D129" s="3">
        <v>35.9</v>
      </c>
    </row>
    <row r="130" spans="1:4" x14ac:dyDescent="0.2">
      <c r="A130" s="2" t="s">
        <v>139</v>
      </c>
      <c r="B130" s="2" t="s">
        <v>50</v>
      </c>
      <c r="C130" s="2" t="s">
        <v>32</v>
      </c>
      <c r="D130" s="3">
        <v>71.8</v>
      </c>
    </row>
    <row r="131" spans="1:4" x14ac:dyDescent="0.2">
      <c r="A131" s="2" t="s">
        <v>140</v>
      </c>
      <c r="B131" s="2" t="s">
        <v>50</v>
      </c>
      <c r="C131" s="2" t="s">
        <v>8</v>
      </c>
      <c r="D131" s="3">
        <v>19.2</v>
      </c>
    </row>
    <row r="132" spans="1:4" x14ac:dyDescent="0.2">
      <c r="A132" s="2" t="s">
        <v>141</v>
      </c>
      <c r="B132" s="2" t="s">
        <v>50</v>
      </c>
      <c r="C132" s="2" t="s">
        <v>8</v>
      </c>
      <c r="D132" s="3">
        <v>19.2</v>
      </c>
    </row>
    <row r="133" spans="1:4" x14ac:dyDescent="0.2">
      <c r="A133" s="2" t="s">
        <v>142</v>
      </c>
      <c r="B133" s="2" t="s">
        <v>50</v>
      </c>
      <c r="C133" s="2" t="s">
        <v>123</v>
      </c>
      <c r="D133" s="3">
        <v>47.6</v>
      </c>
    </row>
    <row r="134" spans="1:4" x14ac:dyDescent="0.2">
      <c r="A134" s="2" t="s">
        <v>143</v>
      </c>
      <c r="B134" s="2" t="s">
        <v>50</v>
      </c>
      <c r="C134" s="2" t="s">
        <v>123</v>
      </c>
      <c r="D134" s="3">
        <v>47.6</v>
      </c>
    </row>
    <row r="135" spans="1:4" x14ac:dyDescent="0.2">
      <c r="A135" s="2" t="s">
        <v>144</v>
      </c>
      <c r="B135" s="2" t="s">
        <v>50</v>
      </c>
      <c r="C135" s="2" t="s">
        <v>8</v>
      </c>
      <c r="D135" s="3">
        <v>19.2</v>
      </c>
    </row>
    <row r="136" spans="1:4" x14ac:dyDescent="0.2">
      <c r="A136" s="2" t="s">
        <v>145</v>
      </c>
      <c r="B136" s="2" t="s">
        <v>50</v>
      </c>
      <c r="C136" s="2" t="s">
        <v>8</v>
      </c>
      <c r="D136" s="3">
        <v>19.2</v>
      </c>
    </row>
    <row r="137" spans="1:4" x14ac:dyDescent="0.2">
      <c r="A137" s="2" t="s">
        <v>146</v>
      </c>
      <c r="B137" s="2" t="s">
        <v>50</v>
      </c>
      <c r="C137" s="2" t="s">
        <v>8</v>
      </c>
      <c r="D137" s="3">
        <v>19.2</v>
      </c>
    </row>
    <row r="138" spans="1:4" x14ac:dyDescent="0.2">
      <c r="A138" s="2" t="s">
        <v>147</v>
      </c>
      <c r="B138" s="2" t="s">
        <v>50</v>
      </c>
      <c r="C138" s="2" t="s">
        <v>8</v>
      </c>
      <c r="D138" s="3">
        <v>19.2</v>
      </c>
    </row>
    <row r="139" spans="1:4" x14ac:dyDescent="0.2">
      <c r="A139" s="2" t="s">
        <v>148</v>
      </c>
      <c r="B139" s="2" t="s">
        <v>50</v>
      </c>
      <c r="C139" s="2" t="s">
        <v>123</v>
      </c>
      <c r="D139" s="3">
        <v>47.6</v>
      </c>
    </row>
    <row r="140" spans="1:4" x14ac:dyDescent="0.2">
      <c r="A140" s="2" t="s">
        <v>149</v>
      </c>
      <c r="B140" s="2" t="s">
        <v>50</v>
      </c>
      <c r="C140" s="2" t="s">
        <v>123</v>
      </c>
      <c r="D140" s="3">
        <v>47.6</v>
      </c>
    </row>
    <row r="141" spans="1:4" x14ac:dyDescent="0.2">
      <c r="A141" s="2" t="s">
        <v>150</v>
      </c>
      <c r="B141" s="2" t="s">
        <v>50</v>
      </c>
      <c r="C141" s="2" t="s">
        <v>8</v>
      </c>
      <c r="D141" s="3">
        <v>19.2</v>
      </c>
    </row>
    <row r="142" spans="1:4" x14ac:dyDescent="0.2">
      <c r="A142" s="2" t="s">
        <v>151</v>
      </c>
      <c r="B142" s="2" t="s">
        <v>50</v>
      </c>
      <c r="C142" s="2" t="s">
        <v>8</v>
      </c>
      <c r="D142" s="3">
        <v>19.2</v>
      </c>
    </row>
    <row r="143" spans="1:4" x14ac:dyDescent="0.2">
      <c r="A143" s="2" t="s">
        <v>152</v>
      </c>
      <c r="B143" s="2" t="s">
        <v>50</v>
      </c>
      <c r="C143" s="2" t="s">
        <v>28</v>
      </c>
      <c r="D143" s="3">
        <v>35.9</v>
      </c>
    </row>
    <row r="144" spans="1:4" x14ac:dyDescent="0.2">
      <c r="A144" s="2" t="s">
        <v>153</v>
      </c>
      <c r="B144" s="2" t="s">
        <v>50</v>
      </c>
      <c r="C144" s="2" t="s">
        <v>28</v>
      </c>
      <c r="D144" s="3">
        <v>35.9</v>
      </c>
    </row>
    <row r="145" spans="1:4" x14ac:dyDescent="0.2">
      <c r="A145" s="2" t="s">
        <v>154</v>
      </c>
      <c r="B145" s="2" t="s">
        <v>50</v>
      </c>
      <c r="C145" s="2" t="s">
        <v>28</v>
      </c>
      <c r="D145" s="3">
        <v>35.9</v>
      </c>
    </row>
    <row r="146" spans="1:4" x14ac:dyDescent="0.2">
      <c r="A146" s="2" t="s">
        <v>155</v>
      </c>
      <c r="B146" s="2" t="s">
        <v>50</v>
      </c>
      <c r="C146" s="2" t="s">
        <v>28</v>
      </c>
      <c r="D146" s="3">
        <v>35.9</v>
      </c>
    </row>
    <row r="147" spans="1:4" x14ac:dyDescent="0.2">
      <c r="A147" s="2" t="s">
        <v>156</v>
      </c>
      <c r="B147" s="2" t="s">
        <v>50</v>
      </c>
      <c r="C147" s="2" t="s">
        <v>28</v>
      </c>
      <c r="D147" s="3">
        <v>35.9</v>
      </c>
    </row>
    <row r="148" spans="1:4" x14ac:dyDescent="0.2">
      <c r="A148" s="2" t="s">
        <v>157</v>
      </c>
      <c r="B148" s="2" t="s">
        <v>50</v>
      </c>
      <c r="C148" s="2" t="s">
        <v>28</v>
      </c>
      <c r="D148" s="3">
        <v>35.9</v>
      </c>
    </row>
    <row r="149" spans="1:4" x14ac:dyDescent="0.2">
      <c r="A149" s="2" t="s">
        <v>158</v>
      </c>
      <c r="B149" s="2" t="s">
        <v>50</v>
      </c>
      <c r="C149" s="2" t="s">
        <v>28</v>
      </c>
      <c r="D149" s="3">
        <v>35.9</v>
      </c>
    </row>
    <row r="150" spans="1:4" x14ac:dyDescent="0.2">
      <c r="A150" s="2" t="s">
        <v>159</v>
      </c>
      <c r="B150" s="2" t="s">
        <v>50</v>
      </c>
      <c r="C150" s="2" t="s">
        <v>28</v>
      </c>
      <c r="D150" s="3">
        <v>35.9</v>
      </c>
    </row>
    <row r="151" spans="1:4" x14ac:dyDescent="0.2">
      <c r="A151" s="2" t="s">
        <v>160</v>
      </c>
      <c r="B151" s="2" t="s">
        <v>50</v>
      </c>
      <c r="C151" s="2" t="s">
        <v>28</v>
      </c>
      <c r="D151" s="3">
        <v>35.9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EBBR - Flights</vt:lpstr>
      <vt:lpstr>EBBR - Gates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Debelle</dc:creator>
  <cp:lastModifiedBy>Arthur Debelle</cp:lastModifiedBy>
  <dcterms:created xsi:type="dcterms:W3CDTF">2024-06-06T17:20:20Z</dcterms:created>
  <dcterms:modified xsi:type="dcterms:W3CDTF">2024-06-07T23:19:36Z</dcterms:modified>
</cp:coreProperties>
</file>